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8de2f84fb049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Escenario" sheetId="1" r:id="R2d65db544f7f4adb"/>
    <x:sheet xmlns:r="http://schemas.openxmlformats.org/officeDocument/2006/relationships" name="01_Plan_Semanal" sheetId="2" r:id="Re2e016c9be884379"/>
    <x:sheet xmlns:r="http://schemas.openxmlformats.org/officeDocument/2006/relationships" name="02_BOM_Relevante" sheetId="3" r:id="R9f665f3df0eb41e5"/>
    <x:sheet xmlns:r="http://schemas.openxmlformats.org/officeDocument/2006/relationships" name="03_Explosion_BOM" sheetId="4" r:id="Rb5da6affaeb64863"/>
    <x:sheet xmlns:r="http://schemas.openxmlformats.org/officeDocument/2006/relationships" name="04_Stock_Inbound" sheetId="5" r:id="Rde39638d89924361"/>
    <x:sheet xmlns:r="http://schemas.openxmlformats.org/officeDocument/2006/relationships" name="05_Materiales_Caja" sheetId="6" r:id="Rfe9f9a24aeed4c79"/>
    <x:sheet xmlns:r="http://schemas.openxmlformats.org/officeDocument/2006/relationships" name="06_Weather_Fixture" sheetId="7" r:id="R7bd81203b69b481b"/>
    <x:sheet xmlns:r="http://schemas.openxmlformats.org/officeDocument/2006/relationships" name="07_Casos_Limite" sheetId="8" r:id="Rc405a23ca90f47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%"/>
    <x:numFmt numFmtId="201" formatCode="#,##0"/>
    <x:numFmt numFmtId="202" formatCode="0.00"/>
    <x:numFmt numFmtId="203" formatCode="0.000"/>
    <x:numFmt numFmtId="204" formatCode="yyyy-mm-dd"/>
    <x:numFmt numFmtId="205" formatCode="0.0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5B6770"/>
      <x:name val="Carlito"/>
    </x:font>
    <x:font>
      <x:b/>
      <x:sz val="10"/>
      <x:color rgb="FFFFFFFF"/>
      <x:name val="Carlito"/>
    </x:font>
    <x:font>
      <x:b/>
      <x:sz val="11"/>
      <x:color rgb="FF22643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324A"/>
      </x:patternFill>
    </x:fill>
    <x:fill>
      <x:patternFill patternType="solid">
        <x:fgColor rgb="FF1F5A6B"/>
      </x:patternFill>
    </x:fill>
    <x:fill>
      <x:patternFill patternType="solid">
        <x:fgColor rgb="FF2E8B74"/>
      </x:patternFill>
    </x:fill>
    <x:fill>
      <x:patternFill patternType="solid">
        <x:fgColor rgb="FFE6F4EA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3" fillId="3" borderId="8" xfId="0" applyNumberFormat="1" applyFont="1" applyFill="1" applyBorder="1" applyAlignment="1">
      <x:alignment vertical="center" wrapText="1"/>
    </x:xf>
    <x:xf numFmtId="0" fontId="3" fillId="3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0" fontId="0" fillId="0" borderId="5" xfId="0" applyNumberFormat="1" applyFont="1" applyFill="1" applyBorder="1"/>
    <x:xf numFmtId="200" fontId="0" fillId="0" borderId="11" xfId="0" applyNumberFormat="1" applyFont="1" applyFill="1" applyBorder="1"/>
    <x:xf numFmtId="201" fontId="0" fillId="0" borderId="5" xfId="0" applyNumberFormat="1" applyFont="1" applyFill="1" applyBorder="1"/>
    <x:xf numFmtId="201" fontId="0" fillId="0" borderId="11" xfId="0" applyNumberFormat="1" applyFont="1" applyFill="1" applyBorder="1"/>
    <x:xf numFmtId="201" fontId="0" fillId="0" borderId="7" xfId="0" applyNumberFormat="1" applyFont="1" applyFill="1" applyBorder="1"/>
    <x:xf numFmtId="201" fontId="0" fillId="0" borderId="13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3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/>
    <x:xf numFmtId="202" fontId="0" fillId="0" borderId="15" xfId="0" applyNumberFormat="1" applyFont="1" applyFill="1" applyBorder="1"/>
    <x:xf numFmtId="201" fontId="0" fillId="0" borderId="15" xfId="0" applyNumberFormat="1" applyFont="1" applyFill="1" applyBorder="1"/>
    <x:xf numFmtId="0" fontId="0" fillId="0" borderId="16" xfId="0" applyNumberFormat="1" applyFont="1" applyFill="1" applyBorder="1"/>
    <x:xf numFmtId="202" fontId="0" fillId="0" borderId="16" xfId="0" applyNumberFormat="1" applyFont="1" applyFill="1" applyBorder="1"/>
    <x:xf numFmtId="201" fontId="0" fillId="0" borderId="16" xfId="0" applyNumberFormat="1" applyFont="1" applyFill="1" applyBorder="1"/>
    <x:xf numFmtId="0" fontId="3" fillId="3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/>
    <x:xf numFmtId="202" fontId="0" fillId="0" borderId="18" xfId="0" applyNumberFormat="1" applyFont="1" applyFill="1" applyBorder="1"/>
    <x:xf numFmtId="201" fontId="0" fillId="0" borderId="18" xfId="0" applyNumberFormat="1" applyFont="1" applyFill="1" applyBorder="1"/>
    <x:xf numFmtId="0" fontId="0" fillId="0" borderId="19" xfId="0" applyNumberFormat="1" applyFont="1" applyFill="1" applyBorder="1"/>
    <x:xf numFmtId="202" fontId="0" fillId="0" borderId="19" xfId="0" applyNumberFormat="1" applyFont="1" applyFill="1" applyBorder="1"/>
    <x:xf numFmtId="201" fontId="0" fillId="0" borderId="19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/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200" fontId="0" fillId="0" borderId="13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15" xfId="0" applyNumberFormat="1" applyFont="1" applyFill="1" applyBorder="1"/>
    <x:xf numFmtId="203" fontId="0" fillId="0" borderId="16" xfId="0" applyNumberFormat="1" applyFont="1" applyFill="1" applyBorder="1"/>
    <x:xf numFmtId="203" fontId="0" fillId="0" borderId="18" xfId="0" applyNumberFormat="1" applyFont="1" applyFill="1" applyBorder="1"/>
    <x:xf numFmtId="203" fontId="0" fillId="0" borderId="19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4" fontId="0" fillId="0" borderId="4" xfId="0" applyNumberFormat="1" applyFont="1" applyFill="1" applyBorder="1"/>
    <x:xf numFmtId="205" fontId="0" fillId="0" borderId="15" xfId="0" applyNumberFormat="1" applyFont="1" applyFill="1" applyBorder="1"/>
    <x:xf numFmtId="204" fontId="0" fillId="0" borderId="6" xfId="0" applyNumberFormat="1" applyFont="1" applyFill="1" applyBorder="1"/>
    <x:xf numFmtId="205" fontId="0" fillId="0" borderId="16" xfId="0" applyNumberFormat="1" applyFont="1" applyFill="1" applyBorder="1"/>
    <x:xf numFmtId="204" fontId="0" fillId="0" borderId="10" xfId="0" applyNumberFormat="1" applyFont="1" applyFill="1" applyBorder="1"/>
    <x:xf numFmtId="205" fontId="0" fillId="0" borderId="18" xfId="0" applyNumberFormat="1" applyFont="1" applyFill="1" applyBorder="1"/>
    <x:xf numFmtId="204" fontId="0" fillId="0" borderId="12" xfId="0" applyNumberFormat="1" applyFont="1" applyFill="1" applyBorder="1"/>
    <x:xf numFmtId="205" fontId="0" fillId="0" borderId="19" xfId="0" applyNumberFormat="1" applyFont="1" applyFill="1" applyBorder="1"/>
    <x:xf numFmtId="202" fontId="0" fillId="0" borderId="7" xfId="0" applyNumberFormat="1" applyFont="1" applyFill="1" applyBorder="1"/>
    <x:xf numFmtId="202" fontId="0" fillId="0" borderId="13" xfId="0" applyNumberFormat="1" applyFont="1" applyFill="1" applyBorder="1"/>
    <x:xf numFmtId="0" fontId="0" fillId="5" borderId="5" xfId="0" applyNumberFormat="1" applyFont="1" applyFill="1" applyBorder="1"/>
    <x:xf numFmtId="0" fontId="0" fillId="5" borderId="7" xfId="0" applyNumberFormat="1" applyFont="1" applyFill="1" applyBorder="1"/>
    <x:xf numFmtId="0" fontId="0" fillId="5" borderId="11" xfId="0" applyNumberFormat="1" applyFont="1" applyFill="1" applyBorder="1"/>
    <x:xf numFmtId="0" fontId="0" fillId="5" borderId="13" xfId="0" applyNumberFormat="1" applyFont="1" applyFill="1" applyBorder="1"/>
    <x:xf numFmtId="0" fontId="4" fillId="5" borderId="5" xfId="0" applyNumberFormat="1" applyFont="1" applyFill="1" applyBorder="1"/>
    <x:xf numFmtId="0" fontId="4" fillId="5" borderId="7" xfId="0" applyNumberFormat="1" applyFont="1" applyFill="1" applyBorder="1"/>
    <x:xf numFmtId="0" fontId="4" fillId="5" borderId="11" xfId="0" applyNumberFormat="1" applyFont="1" applyFill="1" applyBorder="1"/>
    <x:xf numFmtId="0" fontId="4" fillId="5" borderId="13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1" fontId="0" fillId="0" borderId="7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1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2" fontId="0" fillId="0" borderId="15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2" fontId="0" fillId="0" borderId="16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202" fontId="0" fillId="0" borderId="18" xfId="0" applyNumberFormat="1" applyFont="1" applyFill="1" applyBorder="1" applyAlignment="1">
      <x:alignment wrapText="1"/>
    </x:xf>
    <x:xf numFmtId="201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2" fontId="0" fillId="0" borderId="19" xfId="0" applyNumberFormat="1" applyFont="1" applyFill="1" applyBorder="1" applyAlignment="1">
      <x:alignment wrapText="1"/>
    </x:xf>
    <x:xf numFmtId="201" fontId="0" fillId="0" borderId="1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203" fontId="0" fillId="0" borderId="15" xfId="0" applyNumberFormat="1" applyFont="1" applyFill="1" applyBorder="1" applyAlignment="1">
      <x:alignment wrapText="1"/>
    </x:xf>
    <x:xf numFmtId="203" fontId="0" fillId="0" borderId="16" xfId="0" applyNumberFormat="1" applyFont="1" applyFill="1" applyBorder="1" applyAlignment="1">
      <x:alignment wrapText="1"/>
    </x:xf>
    <x:xf numFmtId="203" fontId="0" fillId="0" borderId="18" xfId="0" applyNumberFormat="1" applyFont="1" applyFill="1" applyBorder="1" applyAlignment="1">
      <x:alignment wrapText="1"/>
    </x:xf>
    <x:xf numFmtId="203" fontId="0" fillId="0" borderId="19" xfId="0" applyNumberFormat="1" applyFont="1" applyFill="1" applyBorder="1" applyAlignment="1">
      <x:alignment wrapText="1"/>
    </x:xf>
    <x:xf numFmtId="204" fontId="0" fillId="0" borderId="4" xfId="0" applyNumberFormat="1" applyFont="1" applyFill="1" applyBorder="1" applyAlignment="1">
      <x:alignment wrapText="1"/>
    </x:xf>
    <x:xf numFmtId="205" fontId="0" fillId="0" borderId="15" xfId="0" applyNumberFormat="1" applyFont="1" applyFill="1" applyBorder="1" applyAlignment="1">
      <x:alignment wrapText="1"/>
    </x:xf>
    <x:xf numFmtId="204" fontId="0" fillId="0" borderId="6" xfId="0" applyNumberFormat="1" applyFont="1" applyFill="1" applyBorder="1" applyAlignment="1">
      <x:alignment wrapText="1"/>
    </x:xf>
    <x:xf numFmtId="205" fontId="0" fillId="0" borderId="16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204" fontId="0" fillId="0" borderId="10" xfId="0" applyNumberFormat="1" applyFont="1" applyFill="1" applyBorder="1" applyAlignment="1">
      <x:alignment wrapText="1"/>
    </x:xf>
    <x:xf numFmtId="205" fontId="0" fillId="0" borderId="18" xfId="0" applyNumberFormat="1" applyFont="1" applyFill="1" applyBorder="1" applyAlignment="1">
      <x:alignment wrapText="1"/>
    </x:xf>
    <x:xf numFmtId="204" fontId="0" fillId="0" borderId="12" xfId="0" applyNumberFormat="1" applyFont="1" applyFill="1" applyBorder="1" applyAlignment="1">
      <x:alignment wrapText="1"/>
    </x:xf>
    <x:xf numFmtId="205" fontId="0" fillId="0" borderId="19" xfId="0" applyNumberFormat="1" applyFont="1" applyFill="1" applyBorder="1" applyAlignment="1">
      <x:alignment wrapText="1"/>
    </x:xf>
    <x:xf numFmtId="202" fontId="0" fillId="0" borderId="13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A12727"/>
      </x:font>
      <x:fill>
        <x:patternFill patternType="solid">
          <x:bgColor rgb="FFFDE7E7"/>
        </x:patternFill>
      </x:fill>
    </x:dxf>
    <x:dxf>
      <x:font>
        <x:b/>
        <x:color rgb="FF22643A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8ab2beff594593" /><Relationship Type="http://schemas.openxmlformats.org/officeDocument/2006/relationships/theme" Target="/xl/theme/theme1.xml" Id="R9fbf4d16d99946d7" /><Relationship Type="http://schemas.openxmlformats.org/officeDocument/2006/relationships/sharedStrings" Target="/xl/sharedStrings.xml" Id="Rb738507c051b4eaf" /><Relationship Type="http://schemas.openxmlformats.org/officeDocument/2006/relationships/worksheet" Target="/xl/worksheets/sheet1.xml" Id="R2d65db544f7f4adb" /><Relationship Type="http://schemas.openxmlformats.org/officeDocument/2006/relationships/worksheet" Target="/xl/worksheets/sheet2.xml" Id="Re2e016c9be884379" /><Relationship Type="http://schemas.openxmlformats.org/officeDocument/2006/relationships/worksheet" Target="/xl/worksheets/sheet3.xml" Id="R9f665f3df0eb41e5" /><Relationship Type="http://schemas.openxmlformats.org/officeDocument/2006/relationships/worksheet" Target="/xl/worksheets/sheet4.xml" Id="Rb5da6affaeb64863" /><Relationship Type="http://schemas.openxmlformats.org/officeDocument/2006/relationships/worksheet" Target="/xl/worksheets/sheet5.xml" Id="Rde39638d89924361" /><Relationship Type="http://schemas.openxmlformats.org/officeDocument/2006/relationships/worksheet" Target="/xl/worksheets/sheet6.xml" Id="Rfe9f9a24aeed4c79" /><Relationship Type="http://schemas.openxmlformats.org/officeDocument/2006/relationships/worksheet" Target="/xl/worksheets/sheet7.xml" Id="R7bd81203b69b481b" /><Relationship Type="http://schemas.openxmlformats.org/officeDocument/2006/relationships/worksheet" Target="/xl/worksheets/sheet8.xml" Id="Rc405a23ca90f47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8.37999725341797" hidden="0" customWidth="1"/>
    <x:col min="2" max="2" width="20.1299991607666" hidden="0" customWidth="1"/>
    <x:col min="4" max="4" width="74.62999725341797" hidden="0" customWidth="1"/>
  </x:cols>
  <x:sheetData>
    <x:row r="1" ht="16.799999237060547" hidden="0" customHeight="1">
      <x:c r="A1" s="106" t="str">
        <x:v>OBRA MOCK CANÓNICA — Plan Semanal / Lookahead</x:v>
      </x:c>
      <x:c r="B1" s="106"/>
      <x:c r="C1" s="106"/>
      <x:c r="D1" s="106"/>
      <x:c r="E1" s="106"/>
      <x:c r="F1" s="106"/>
      <x:c r="G1" s="106"/>
      <x:c r="H1" s="106"/>
      <x:c r="I1" s="44"/>
      <x:c r="J1" s="44"/>
      <x:c r="K1" s="44"/>
      <x:c r="L1" s="44"/>
      <x:c r="M1" s="44"/>
      <x:c r="N1" s="44"/>
    </x:row>
    <x:row r="2" ht="15" hidden="0" customHeight="1">
      <x:c r="A2" s="107" t="str">
        <x:v>Proyecto OBR-MOCK-001 · Semana 14/09/2026–20/09/2026 · El residente define el plan; el ERP calcula materiales, cobertura y caja.</x:v>
      </x:c>
      <x:c r="B2" s="107"/>
      <x:c r="C2" s="107"/>
      <x:c r="D2" s="107"/>
      <x:c r="E2" s="107"/>
      <x:c r="F2" s="107"/>
      <x:c r="G2" s="107"/>
      <x:c r="H2" s="107"/>
      <x:c r="I2" s="44"/>
      <x:c r="J2" s="44"/>
      <x:c r="K2" s="44"/>
      <x:c r="L2" s="44"/>
      <x:c r="M2" s="44"/>
      <x:c r="N2" s="44"/>
    </x:row>
    <x:row r="3" ht="15" hidden="0" customHeight="1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</x:row>
    <x:row r="4" ht="15" hidden="0" customHeight="1">
      <x:c r="A4" s="18" t="str">
        <x:v>Campo</x:v>
      </x:c>
      <x:c r="B4" s="19" t="str">
        <x:v>Valor</x:v>
      </x:c>
      <x:c r="C4" s="44"/>
      <x:c r="D4" s="42" t="str">
        <x:v>Qué tiene que probar este mock</x:v>
      </x:c>
      <x:c r="E4" s="42"/>
      <x:c r="F4" s="42"/>
      <x:c r="G4" s="42"/>
      <x:c r="H4" s="42"/>
      <x:c r="I4" s="44"/>
      <x:c r="J4" s="44"/>
      <x:c r="K4" s="44"/>
      <x:c r="L4" s="44"/>
      <x:c r="M4" s="44"/>
      <x:c r="N4" s="44"/>
    </x:row>
    <x:row r="5" ht="15" hidden="0" customHeight="1">
      <x:c r="A5" s="108" t="str">
        <x:v>Proyecto</x:v>
      </x:c>
      <x:c r="B5" s="109" t="str">
        <x:v>OBR-MOCK-001</x:v>
      </x:c>
      <x:c r="C5" s="44"/>
      <x:c r="D5" s="44" t="str">
        <x:v>1. Modo QUANTITY y CONTRACT_PERCENTAGE_POINTS</x:v>
      </x:c>
      <x:c r="E5" s="44"/>
      <x:c r="F5" s="44"/>
      <x:c r="G5" s="44"/>
      <x:c r="H5" s="44"/>
      <x:c r="I5" s="44"/>
      <x:c r="J5" s="44"/>
      <x:c r="K5" s="44"/>
      <x:c r="L5" s="44"/>
      <x:c r="M5" s="44"/>
      <x:c r="N5" s="44"/>
    </x:row>
    <x:row r="6" ht="15" hidden="0" customHeight="1">
      <x:c r="A6" s="108" t="str">
        <x:v>Semana</x:v>
      </x:c>
      <x:c r="B6" s="110" t="str">
        <x:v>2026-09-14 → 2026-09-20</x:v>
      </x:c>
      <x:c r="C6" s="44"/>
      <x:c r="D6" s="44" t="str">
        <x:v>2. Dos frentes de la misma partida sin colisión</x:v>
      </x:c>
      <x:c r="E6" s="44"/>
      <x:c r="F6" s="44"/>
      <x:c r="G6" s="44"/>
      <x:c r="H6" s="44"/>
      <x:c r="I6" s="44"/>
      <x:c r="J6" s="44"/>
      <x:c r="K6" s="44"/>
      <x:c r="L6" s="44"/>
      <x:c r="M6" s="44"/>
      <x:c r="N6" s="44"/>
    </x:row>
    <x:row r="7" ht="15" hidden="0" customHeight="1">
      <x:c r="A7" s="108" t="str">
        <x:v>Presupuesto base (Gs.)</x:v>
      </x:c>
      <x:c r="B7" s="111" t="n">
        <x:v>1603180000</x:v>
      </x:c>
      <x:c r="C7" s="44"/>
      <x:c r="D7" s="44" t="str">
        <x:v>3. Cap por saldo contractual compartido entre frentes</x:v>
      </x:c>
      <x:c r="E7" s="44"/>
      <x:c r="F7" s="44"/>
      <x:c r="G7" s="44"/>
      <x:c r="H7" s="44"/>
      <x:c r="I7" s="44"/>
      <x:c r="J7" s="44"/>
      <x:c r="K7" s="44"/>
      <x:c r="L7" s="44"/>
      <x:c r="M7" s="44"/>
      <x:c r="N7" s="44"/>
    </x:row>
    <x:row r="8" ht="15" hidden="0" customHeight="1">
      <x:c r="A8" s="108" t="str">
        <x:v>Avance actual ponderado</x:v>
      </x:c>
      <x:c r="B8" s="111" t="n">
        <x:v>0.14527376838533415</x:v>
      </x:c>
      <x:c r="C8" s="44"/>
      <x:c r="D8" s="44" t="str">
        <x:v>4. Explosión BOM con desperdicio</x:v>
      </x:c>
      <x:c r="E8" s="44"/>
      <x:c r="F8" s="44"/>
      <x:c r="G8" s="44"/>
      <x:c r="H8" s="44"/>
      <x:c r="I8" s="44"/>
      <x:c r="J8" s="44"/>
      <x:c r="K8" s="44"/>
      <x:c r="L8" s="44"/>
      <x:c r="M8" s="44"/>
      <x:c r="N8" s="44"/>
    </x:row>
    <x:row r="9" ht="15" hidden="0" customHeight="1">
      <x:c r="A9" s="108" t="str">
        <x:v>Valor adicional del plan (Gs.)</x:v>
      </x:c>
      <x:c r="B9" s="111" t="n">
        <x:v>37485000</x:v>
      </x:c>
      <x:c r="C9" s="44"/>
      <x:c r="D9" s="44" t="str">
        <x:v>5. Stock + inbound físico antes de comprar</x:v>
      </x:c>
      <x:c r="E9" s="44"/>
      <x:c r="F9" s="44"/>
      <x:c r="G9" s="44"/>
      <x:c r="H9" s="44"/>
      <x:c r="I9" s="44"/>
      <x:c r="J9" s="44"/>
      <x:c r="K9" s="44"/>
      <x:c r="L9" s="44"/>
      <x:c r="M9" s="44"/>
      <x:c r="N9" s="44"/>
    </x:row>
    <x:row r="10" ht="15" hidden="0" customHeight="1">
      <x:c r="A10" s="108" t="str">
        <x:v>Avance objetivo ponderado</x:v>
      </x:c>
      <x:c r="B10" s="110" t="n">
        <x:v>0.16865542234808317</x:v>
      </x:c>
      <x:c r="C10" s="44"/>
      <x:c r="D10" s="44" t="str">
        <x:v>6. Caja adicional sólo por faltante neto</x:v>
      </x:c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</x:row>
    <x:row r="11" ht="15" hidden="0" customHeight="1">
      <x:c r="A11" s="108" t="str">
        <x:v>Incremento objetivo</x:v>
      </x:c>
      <x:c r="B11" s="110" t="n">
        <x:v>0.02338165396274902</x:v>
      </x:c>
      <x:c r="C11" s="44"/>
      <x:c r="D11" s="44" t="str">
        <x:v>7. Weather OFF no altera el plan base</x:v>
      </x:c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</x:row>
    <x:row r="12" ht="15" hidden="0" customHeight="1">
      <x:c r="A12" s="112" t="str">
        <x:v>Caja adicional esperada (Gs.)</x:v>
      </x:c>
      <x:c r="B12" s="113" t="n">
        <x:v>4800000</x:v>
      </x:c>
      <x:c r="C12" s="44"/>
      <x:c r="D12" s="44" t="str">
        <x:v>8. Weather ON usa sólo el rango del plan y no inventa días</x:v>
      </x:c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</x:row>
    <x:row r="13" ht="15" hidden="0" customHeight="1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</x:row>
    <x:row r="14" ht="15" hidden="0" customHeight="1">
      <x:c r="A14" s="44"/>
      <x:c r="B14" s="44"/>
      <x:c r="C14" s="44"/>
      <x:c r="D14" s="50" t="str">
        <x:v>Contrato conceptual</x:v>
      </x:c>
      <x:c r="E14" s="50"/>
      <x:c r="F14" s="50"/>
      <x:c r="G14" s="50"/>
      <x:c r="H14" s="50"/>
      <x:c r="I14" s="44"/>
      <x:c r="J14" s="44"/>
      <x:c r="K14" s="44"/>
      <x:c r="L14" s="44"/>
      <x:c r="M14" s="44"/>
      <x:c r="N14" s="44"/>
    </x:row>
    <x:row r="15" ht="15" hidden="0" customHeight="1">
      <x:c r="A15" s="44"/>
      <x:c r="B15" s="44"/>
      <x:c r="C15" s="44"/>
      <x:c r="D15" s="44" t="str">
        <x:v>El plan semanal es intención del usuario, no una predicción del ERP.</x:v>
      </x:c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</x:row>
    <x:row r="16" ht="15" hidden="0" customHeight="1">
      <x:c r="A16" s="44"/>
      <x:c r="B16" s="44"/>
      <x:c r="C16" s="44"/>
      <x:c r="D16" s="44" t="str">
        <x:v>La cantidad física es canónica. Los puntos porcentuales se convierten contra la cantidad contractual.</x:v>
      </x:c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</x:row>
    <x:row r="17" ht="15" hidden="0" customHeight="1">
      <x:c r="A17" s="44"/>
      <x:c r="B17" s="44"/>
      <x:c r="C17" s="44"/>
      <x:c r="D17" s="44" t="str">
        <x:v>El clima es una restricción/overlay; nunca reescribe el target del usuario.</x:v>
      </x:c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</x:row>
    <x:row r="18" ht="15" hidden="0" customHeight="1">
      <x:c r="A18" s="44"/>
      <x:c r="B18" s="44"/>
      <x:c r="C18" s="44"/>
      <x:c r="D18" s="44" t="str">
        <x:v>Historial insuficiente no bloquea materiales ni caja.</x:v>
      </x:c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</x:row>
    <x:row r="19" ht="15" hidden="0" customHeight="1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</x:row>
    <x:row r="20" ht="15" hidden="0" customHeight="1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</x:row>
    <x:row r="21" ht="15" hidden="0" customHeight="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</x:row>
    <x:row r="22" ht="15" hidden="0" customHeight="1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</x:row>
    <x:row r="23" ht="15" hidden="0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</x:row>
    <x:row r="24" ht="15" hidden="0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</x:row>
    <x:row r="25" ht="15" hidden="0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</x:row>
    <x:row r="26" ht="15" hidden="0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</x:row>
    <x:row r="27" ht="15" hidden="0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</x:row>
    <x:row r="28" ht="15" hidden="0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</x:row>
    <x:row r="29" ht="15" hidden="0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</x:row>
    <x:row r="30" ht="15" hidden="0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</x:row>
    <x:row r="31" ht="15" hidden="0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</x:row>
    <x:row r="32" ht="15" hidden="0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</x:row>
    <x:row r="33" ht="15" hidden="0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</x:row>
    <x:row r="34" ht="15" hidden="0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</x:row>
    <x:row r="35" ht="15" hidden="0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</x:row>
    <x:row r="36" ht="15" hidden="0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</x:row>
    <x:row r="37" ht="15" hidden="0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</x:row>
    <x:row r="38" ht="15" hidden="0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</x:row>
    <x:row r="39" ht="15" hidden="0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</x:row>
    <x:row r="40" ht="15" hidden="0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</x:row>
  </x:sheetData>
  <x:mergeCells>
    <x:mergeCell ref="A1:H1"/>
    <x:mergeCell ref="A2:H2"/>
    <x:mergeCell ref="D4:H4"/>
    <x:mergeCell ref="D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9.12999725341797" hidden="0" customWidth="1"/>
    <x:col min="2" max="2" width="24" hidden="0" customWidth="1"/>
    <x:col min="3" max="3" width="24" hidden="0" customWidth="1"/>
    <x:col min="4" max="4" width="27.75" hidden="0" customWidth="1"/>
    <x:col min="5" max="5" width="4.75" hidden="0" customWidth="1"/>
    <x:col min="6" max="6" width="8.630000114440918" hidden="0" customWidth="1"/>
    <x:col min="7" max="7" width="7.380000114440918" hidden="0" customWidth="1"/>
    <x:col min="8" max="8" width="7.630000114440918" hidden="0" customWidth="1"/>
    <x:col min="9" max="9" width="10.880000114440918" hidden="0" customWidth="1"/>
    <x:col min="10" max="10" width="10.25" hidden="0" customWidth="1"/>
    <x:col min="11" max="11" width="17.3799991607666" hidden="0" customWidth="1"/>
    <x:col min="12" max="12" width="11" hidden="0" customWidth="1"/>
    <x:col min="13" max="13" width="11.25" hidden="0" customWidth="1"/>
    <x:col min="14" max="14" width="32" hidden="0" customWidth="1"/>
  </x:cols>
  <x:sheetData>
    <x:row r="1" ht="16.799999237060547" hidden="0" customHeight="1">
      <x:c r="A1" s="106" t="str">
        <x:v>Plan semanal de ejecución — inputs del residente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106"/>
    </x:row>
    <x:row r="2" ht="15" hidden="0" customHeight="1">
      <x:c r="A2" s="107" t="str">
        <x:v>Editables: Frente, Modo e Input. Target nominal y target capado son derivados. El saldo contractual se comparte entre frentes de la misma partida.</x:v>
      </x:c>
      <x:c r="B2" s="107"/>
      <x:c r="C2" s="107"/>
      <x:c r="D2" s="107"/>
      <x:c r="E2" s="107"/>
      <x:c r="F2" s="107"/>
      <x:c r="G2" s="107"/>
      <x:c r="H2" s="107"/>
      <x:c r="I2" s="107"/>
      <x:c r="J2" s="107"/>
      <x:c r="K2" s="107"/>
      <x:c r="L2" s="107"/>
      <x:c r="M2" s="107"/>
      <x:c r="N2" s="107"/>
    </x:row>
    <x:row r="3" ht="15" hidden="0" customHeight="1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</x:row>
    <x:row r="4" ht="15" hidden="0" customHeight="1">
      <x:c r="A4" s="18" t="str">
        <x:v>Código</x:v>
      </x:c>
      <x:c r="B4" s="56" t="str">
        <x:v>Partida</x:v>
      </x:c>
      <x:c r="C4" s="56" t="str">
        <x:v>Frente / sector</x:v>
      </x:c>
      <x:c r="D4" s="56" t="str">
        <x:v>Modo input</x:v>
      </x:c>
      <x:c r="E4" s="56" t="str">
        <x:v>Input</x:v>
      </x:c>
      <x:c r="F4" s="56" t="str">
        <x:v>Contractual</x:v>
      </x:c>
      <x:c r="G4" s="56" t="str">
        <x:v>Ejecutado</x:v>
      </x:c>
      <x:c r="H4" s="56" t="str">
        <x:v>Pendiente</x:v>
      </x:c>
      <x:c r="I4" s="56" t="str">
        <x:v>Target nominal</x:v>
      </x:c>
      <x:c r="J4" s="56" t="str">
        <x:v>Target capado</x:v>
      </x:c>
      <x:c r="K4" s="56" t="str">
        <x:v>Unidad</x:v>
      </x:c>
      <x:c r="L4" s="56" t="str">
        <x:v>Precio unit. Gs.</x:v>
      </x:c>
      <x:c r="M4" s="56" t="str">
        <x:v>Valor target Gs.</x:v>
      </x:c>
      <x:c r="N4" s="19" t="str">
        <x:v>Nota</x:v>
      </x:c>
    </x:row>
    <x:row r="5" ht="15" hidden="0" customHeight="1">
      <x:c r="A5" s="108" t="str">
        <x:v>4.1</x:v>
      </x:c>
      <x:c r="B5" s="122" t="str">
        <x:v>Mampostería cerámica</x:v>
      </x:c>
      <x:c r="C5" s="122" t="str">
        <x:v>Sector A</x:v>
      </x:c>
      <x:c r="D5" s="122" t="str">
        <x:v>CONTRACT_PERCENTAGE_POINTS</x:v>
      </x:c>
      <x:c r="E5" s="123" t="n">
        <x:v>8</x:v>
      </x:c>
      <x:c r="F5" s="123" t="n">
        <x:v>900</x:v>
      </x:c>
      <x:c r="G5" s="123" t="n">
        <x:v>120</x:v>
      </x:c>
      <x:c r="H5" s="123" t="n">
        <x:f>MAX(0,F5-G5)</x:f>
        <x:v>780</x:v>
      </x:c>
      <x:c r="I5" s="123" t="n">
        <x:f>IF(D5="QUANTITY",E5,F5*E5/100)</x:f>
        <x:v>72</x:v>
      </x:c>
      <x:c r="J5" s="123" t="n">
        <x:f>MIN(I5,H5)</x:f>
        <x:v>72</x:v>
      </x:c>
      <x:c r="K5" s="122" t="str">
        <x:v>m2</x:v>
      </x:c>
      <x:c r="L5" s="124" t="n">
        <x:v>185000</x:v>
      </x:c>
      <x:c r="M5" s="124" t="n">
        <x:f>J5*L5</x:f>
        <x:v>13320000</x:v>
      </x:c>
      <x:c r="N5" s="109" t="str">
        <x:v>8 pp = 72 m²</x:v>
      </x:c>
    </x:row>
    <x:row r="6" ht="15" hidden="0" customHeight="1">
      <x:c r="A6" s="108" t="str">
        <x:v>4.1</x:v>
      </x:c>
      <x:c r="B6" s="122" t="str">
        <x:v>Mampostería cerámica</x:v>
      </x:c>
      <x:c r="C6" s="122" t="str">
        <x:v>Sector B</x:v>
      </x:c>
      <x:c r="D6" s="122" t="str">
        <x:v>QUANTITY</x:v>
      </x:c>
      <x:c r="E6" s="123" t="n">
        <x:v>48</x:v>
      </x:c>
      <x:c r="F6" s="123" t="n">
        <x:v>900</x:v>
      </x:c>
      <x:c r="G6" s="123" t="n">
        <x:v>120</x:v>
      </x:c>
      <x:c r="H6" s="123" t="n">
        <x:f>MAX(0,F6-G6)</x:f>
        <x:v>780</x:v>
      </x:c>
      <x:c r="I6" s="123" t="n">
        <x:f>IF(D6="QUANTITY",E6,F6*E6/100)</x:f>
        <x:v>48</x:v>
      </x:c>
      <x:c r="J6" s="123" t="n">
        <x:f>MIN(I6,MAX(0,H6-SUMIFS($J$5:J5,$A$5:A5,A6)))</x:f>
        <x:v>48</x:v>
      </x:c>
      <x:c r="K6" s="122" t="str">
        <x:v>m2</x:v>
      </x:c>
      <x:c r="L6" s="124" t="n">
        <x:v>185000</x:v>
      </x:c>
      <x:c r="M6" s="124" t="n">
        <x:f>J6*L6</x:f>
        <x:v>8880000</x:v>
      </x:c>
      <x:c r="N6" s="109" t="str">
        <x:v>Segundo frente; total mampostería = 120 m²</x:v>
      </x:c>
    </x:row>
    <x:row r="7" ht="15" hidden="0" customHeight="1">
      <x:c r="A7" s="108" t="str">
        <x:v>3.2</x:v>
      </x:c>
      <x:c r="B7" s="122" t="str">
        <x:v>Vigas de hormigón armado</x:v>
      </x:c>
      <x:c r="C7" s="122" t="str">
        <x:v>Frente estructura</x:v>
      </x:c>
      <x:c r="D7" s="122" t="str">
        <x:v>QUANTITY</x:v>
      </x:c>
      <x:c r="E7" s="123" t="n">
        <x:v>8</x:v>
      </x:c>
      <x:c r="F7" s="123" t="n">
        <x:v>42</x:v>
      </x:c>
      <x:c r="G7" s="123" t="n">
        <x:v>10</x:v>
      </x:c>
      <x:c r="H7" s="123" t="n">
        <x:f>MAX(0,F7-G7)</x:f>
        <x:v>32</x:v>
      </x:c>
      <x:c r="I7" s="123" t="n">
        <x:f>IF(D7="QUANTITY",E7,F7*E7/100)</x:f>
        <x:v>8</x:v>
      </x:c>
      <x:c r="J7" s="123" t="n">
        <x:f>MIN(I7,MAX(0,H7-SUMIFS($J$5:J6,$A$5:A6,A7)))</x:f>
        <x:v>8</x:v>
      </x:c>
      <x:c r="K7" s="122" t="str">
        <x:v>m3</x:v>
      </x:c>
      <x:c r="L7" s="124" t="n">
        <x:v>1320000</x:v>
      </x:c>
      <x:c r="M7" s="124" t="n">
        <x:f>J7*L7</x:f>
        <x:v>10560000</x:v>
      </x:c>
      <x:c r="N7" s="109" t="str">
        <x:v>Plan físico directo</x:v>
      </x:c>
    </x:row>
    <x:row r="8" ht="15" hidden="0" customHeight="1">
      <x:c r="A8" s="112" t="str">
        <x:v>3.1</x:v>
      </x:c>
      <x:c r="B8" s="125" t="str">
        <x:v>Columnas de hormigón armado</x:v>
      </x:c>
      <x:c r="C8" s="125" t="str">
        <x:v>Planta alta</x:v>
      </x:c>
      <x:c r="D8" s="125" t="str">
        <x:v>CONTRACT_PERCENTAGE_POINTS</x:v>
      </x:c>
      <x:c r="E8" s="126" t="n">
        <x:v>10</x:v>
      </x:c>
      <x:c r="F8" s="126" t="n">
        <x:v>35</x:v>
      </x:c>
      <x:c r="G8" s="126" t="n">
        <x:v>18</x:v>
      </x:c>
      <x:c r="H8" s="126" t="n">
        <x:f>MAX(0,F8-G8)</x:f>
        <x:v>17</x:v>
      </x:c>
      <x:c r="I8" s="126" t="n">
        <x:f>IF(D8="QUANTITY",E8,F8*E8/100)</x:f>
        <x:v>3.5</x:v>
      </x:c>
      <x:c r="J8" s="126" t="n">
        <x:f>MIN(I8,MAX(0,H8-SUMIFS($J$5:J7,$A$5:A7,A8)))</x:f>
        <x:v>3.5</x:v>
      </x:c>
      <x:c r="K8" s="125" t="str">
        <x:v>m3</x:v>
      </x:c>
      <x:c r="L8" s="127" t="n">
        <x:v>1350000</x:v>
      </x:c>
      <x:c r="M8" s="127" t="n">
        <x:f>J8*L8</x:f>
        <x:v>4725000</x:v>
      </x:c>
      <x:c r="N8" s="128" t="str">
        <x:v>10 pp = 3,5 m³</x:v>
      </x:c>
    </x:row>
    <x:row r="9" ht="15" hidden="0" customHeight="1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</x:row>
    <x:row r="10" ht="15" hidden="0" customHeight="1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72" t="str">
        <x:v>KPI</x:v>
      </x:c>
      <x:c r="L10" s="73" t="str">
        <x:v>Valor</x:v>
      </x:c>
      <x:c r="M10" s="44"/>
      <x:c r="N10" s="44"/>
    </x:row>
    <x:row r="11" ht="15" hidden="0" customHeight="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108" t="str">
        <x:v>Valor plan semanal Gs.</x:v>
      </x:c>
      <x:c r="L11" s="110" t="n">
        <x:f>SUM(M5:M8)</x:f>
        <x:v>37485000</x:v>
      </x:c>
      <x:c r="M11" s="44"/>
      <x:c r="N11" s="44"/>
    </x:row>
    <x:row r="12" ht="15" hidden="0" customHeight="1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108" t="str">
        <x:v>Avance actual</x:v>
      </x:c>
      <x:c r="L12" s="111" t="n">
        <x:v>0.14527376838533415</x:v>
      </x:c>
      <x:c r="M12" s="44"/>
      <x:c r="N12" s="44"/>
    </x:row>
    <x:row r="13" ht="15" hidden="0" customHeight="1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112" t="str">
        <x:v>Avance objetivo</x:v>
      </x:c>
      <x:c r="L13" s="129" t="n">
        <x:f>$L$12+L11/1603180000</x:f>
        <x:v>0.16865542234808317</x:v>
      </x:c>
      <x:c r="M13" s="44"/>
      <x:c r="N13" s="44"/>
    </x:row>
    <x:row r="14" ht="15" hidden="0" customHeight="1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</x:row>
    <x:row r="15" ht="15" hidden="0" customHeight="1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</x:row>
    <x:row r="16" ht="15" hidden="0" customHeight="1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</x:row>
    <x:row r="17" ht="15" hidden="0" customHeight="1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</x:row>
    <x:row r="18" ht="15" hidden="0" customHeight="1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</x:row>
    <x:row r="19" ht="15" hidden="0" customHeight="1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</x:row>
    <x:row r="20" ht="15" hidden="0" customHeight="1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</x:row>
    <x:row r="21" ht="15" hidden="0" customHeight="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</x:row>
    <x:row r="22" ht="15" hidden="0" customHeight="1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</x:row>
    <x:row r="23" ht="15" hidden="0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</x:row>
    <x:row r="24" ht="15" hidden="0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</x:row>
    <x:row r="25" ht="15" hidden="0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</x:row>
    <x:row r="26" ht="15" hidden="0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</x:row>
    <x:row r="27" ht="15" hidden="0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</x:row>
    <x:row r="28" ht="15" hidden="0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</x:row>
    <x:row r="29" ht="15" hidden="0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</x:row>
    <x:row r="30" ht="15" hidden="0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</x:row>
    <x:row r="31" ht="15" hidden="0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</x:row>
    <x:row r="32" ht="15" hidden="0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</x:row>
    <x:row r="33" ht="15" hidden="0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</x:row>
    <x:row r="34" ht="15" hidden="0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</x:row>
    <x:row r="35" ht="15" hidden="0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</x:row>
    <x:row r="36" ht="15" hidden="0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</x:row>
    <x:row r="37" ht="15" hidden="0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</x:row>
    <x:row r="38" ht="15" hidden="0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</x:row>
    <x:row r="39" ht="15" hidden="0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</x:row>
    <x:row r="40" ht="15" hidden="0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</x:row>
  </x:sheetData>
  <x:mergeCells>
    <x:mergeCell ref="A1:N1"/>
    <x:mergeCell ref="A2:N2"/>
  </x:mergeCells>
  <x:dataValidations count="1">
    <x:dataValidation type="list" sqref="D5:D30">
      <x:formula1>"QUANTITY,CONTRACT_PERCENTAGE_POINTS"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.75" hidden="0" customWidth="1"/>
    <x:col min="2" max="2" width="7.630000114440918" hidden="0" customWidth="1"/>
    <x:col min="3" max="3" width="13" hidden="0" customWidth="1"/>
    <x:col min="4" max="4" width="10.380000114440918" hidden="0" customWidth="1"/>
    <x:col min="5" max="5" width="11.75" hidden="0" customWidth="1"/>
  </x:cols>
  <x:sheetData>
    <x:row r="1" ht="16.799999237060547" hidden="0" customHeight="1">
      <x:c r="A1" s="106" t="str">
        <x:v>BOM canónico usado por el Plan Semanal</x:v>
      </x:c>
      <x:c r="B1" s="106"/>
      <x:c r="C1" s="106"/>
      <x:c r="D1" s="106"/>
      <x:c r="E1" s="106"/>
      <x:c r="F1" s="44"/>
      <x:c r="G1" s="44"/>
      <x:c r="H1" s="44"/>
      <x:c r="I1" s="44"/>
      <x:c r="J1" s="44"/>
      <x:c r="K1" s="44"/>
      <x:c r="L1" s="44"/>
      <x:c r="M1" s="44"/>
      <x:c r="N1" s="44"/>
    </x:row>
    <x:row r="2" ht="15" hidden="0" customHeight="1">
      <x:c r="A2" s="44"/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</x:row>
    <x:row r="3" ht="15" hidden="0" customHeight="1">
      <x:c r="A3" s="18" t="str">
        <x:v>Partida</x:v>
      </x:c>
      <x:c r="B3" s="56" t="str">
        <x:v>SKU</x:v>
      </x:c>
      <x:c r="C3" s="56" t="str">
        <x:v>Cantidad / unidad</x:v>
      </x:c>
      <x:c r="D3" s="56" t="str">
        <x:v>Desperdicio %</x:v>
      </x:c>
      <x:c r="E3" s="19" t="str">
        <x:v>Unidad material</x:v>
      </x:c>
      <x:c r="F3" s="44"/>
      <x:c r="G3" s="44"/>
      <x:c r="H3" s="44"/>
      <x:c r="I3" s="44"/>
      <x:c r="J3" s="44"/>
      <x:c r="K3" s="44"/>
      <x:c r="L3" s="44"/>
      <x:c r="M3" s="44"/>
      <x:c r="N3" s="44"/>
    </x:row>
    <x:row r="4" ht="15" hidden="0" customHeight="1">
      <x:c r="A4" s="108" t="str">
        <x:v>4.1</x:v>
      </x:c>
      <x:c r="B4" s="122" t="str">
        <x:v>LADRILLO</x:v>
      </x:c>
      <x:c r="C4" s="138" t="n">
        <x:v>50</x:v>
      </x:c>
      <x:c r="D4" s="138" t="n">
        <x:v>5</x:v>
      </x:c>
      <x:c r="E4" s="109" t="str">
        <x:v>un</x:v>
      </x:c>
      <x:c r="F4" s="44"/>
      <x:c r="G4" s="44"/>
      <x:c r="H4" s="44"/>
      <x:c r="I4" s="44"/>
      <x:c r="J4" s="44"/>
      <x:c r="K4" s="44"/>
      <x:c r="L4" s="44"/>
      <x:c r="M4" s="44"/>
      <x:c r="N4" s="44"/>
    </x:row>
    <x:row r="5" ht="15" hidden="0" customHeight="1">
      <x:c r="A5" s="108" t="str">
        <x:v>4.1</x:v>
      </x:c>
      <x:c r="B5" s="122" t="str">
        <x:v>CEM50</x:v>
      </x:c>
      <x:c r="C5" s="138" t="n">
        <x:v>0.18</x:v>
      </x:c>
      <x:c r="D5" s="138" t="n">
        <x:v>3</x:v>
      </x:c>
      <x:c r="E5" s="109" t="str">
        <x:v>bolsa</x:v>
      </x:c>
      <x:c r="F5" s="44"/>
      <x:c r="G5" s="44"/>
      <x:c r="H5" s="44"/>
      <x:c r="I5" s="44"/>
      <x:c r="J5" s="44"/>
      <x:c r="K5" s="44"/>
      <x:c r="L5" s="44"/>
      <x:c r="M5" s="44"/>
      <x:c r="N5" s="44"/>
    </x:row>
    <x:row r="6" ht="15" hidden="0" customHeight="1">
      <x:c r="A6" s="108" t="str">
        <x:v>4.1</x:v>
      </x:c>
      <x:c r="B6" s="122" t="str">
        <x:v>ARENA</x:v>
      </x:c>
      <x:c r="C6" s="138" t="n">
        <x:v>0.03</x:v>
      </x:c>
      <x:c r="D6" s="138" t="n">
        <x:v>5</x:v>
      </x:c>
      <x:c r="E6" s="109" t="str">
        <x:v>m3</x:v>
      </x:c>
      <x:c r="F6" s="44"/>
      <x:c r="G6" s="44"/>
      <x:c r="H6" s="44"/>
      <x:c r="I6" s="44"/>
      <x:c r="J6" s="44"/>
      <x:c r="K6" s="44"/>
      <x:c r="L6" s="44"/>
      <x:c r="M6" s="44"/>
      <x:c r="N6" s="44"/>
    </x:row>
    <x:row r="7" ht="15" hidden="0" customHeight="1">
      <x:c r="A7" s="108" t="str">
        <x:v>3.2</x:v>
      </x:c>
      <x:c r="B7" s="122" t="str">
        <x:v>CEM50</x:v>
      </x:c>
      <x:c r="C7" s="138" t="n">
        <x:v>8</x:v>
      </x:c>
      <x:c r="D7" s="138" t="n">
        <x:v>3</x:v>
      </x:c>
      <x:c r="E7" s="109" t="str">
        <x:v>bolsa</x:v>
      </x:c>
      <x:c r="F7" s="44"/>
      <x:c r="G7" s="44"/>
      <x:c r="H7" s="44"/>
      <x:c r="I7" s="44"/>
      <x:c r="J7" s="44"/>
      <x:c r="K7" s="44"/>
      <x:c r="L7" s="44"/>
      <x:c r="M7" s="44"/>
      <x:c r="N7" s="44"/>
    </x:row>
    <x:row r="8" ht="15" hidden="0" customHeight="1">
      <x:c r="A8" s="108" t="str">
        <x:v>3.2</x:v>
      </x:c>
      <x:c r="B8" s="122" t="str">
        <x:v>ARENA</x:v>
      </x:c>
      <x:c r="C8" s="138" t="n">
        <x:v>0.55</x:v>
      </x:c>
      <x:c r="D8" s="138" t="n">
        <x:v>5</x:v>
      </x:c>
      <x:c r="E8" s="109" t="str">
        <x:v>m3</x:v>
      </x:c>
      <x:c r="F8" s="44"/>
      <x:c r="G8" s="44"/>
      <x:c r="H8" s="44"/>
      <x:c r="I8" s="44"/>
      <x:c r="J8" s="44"/>
      <x:c r="K8" s="44"/>
      <x:c r="L8" s="44"/>
      <x:c r="M8" s="44"/>
      <x:c r="N8" s="44"/>
    </x:row>
    <x:row r="9" ht="15" hidden="0" customHeight="1">
      <x:c r="A9" s="108" t="str">
        <x:v>3.2</x:v>
      </x:c>
      <x:c r="B9" s="122" t="str">
        <x:v>PIEDRA</x:v>
      </x:c>
      <x:c r="C9" s="138" t="n">
        <x:v>0.8</x:v>
      </x:c>
      <x:c r="D9" s="138" t="n">
        <x:v>5</x:v>
      </x:c>
      <x:c r="E9" s="109" t="str">
        <x:v>m3</x:v>
      </x:c>
      <x:c r="F9" s="44"/>
      <x:c r="G9" s="44"/>
      <x:c r="H9" s="44"/>
      <x:c r="I9" s="44"/>
      <x:c r="J9" s="44"/>
      <x:c r="K9" s="44"/>
      <x:c r="L9" s="44"/>
      <x:c r="M9" s="44"/>
      <x:c r="N9" s="44"/>
    </x:row>
    <x:row r="10" ht="15" hidden="0" customHeight="1">
      <x:c r="A10" s="108" t="str">
        <x:v>3.2</x:v>
      </x:c>
      <x:c r="B10" s="122" t="str">
        <x:v>ACERO</x:v>
      </x:c>
      <x:c r="C10" s="138" t="n">
        <x:v>150</x:v>
      </x:c>
      <x:c r="D10" s="138" t="n">
        <x:v>3</x:v>
      </x:c>
      <x:c r="E10" s="109" t="str">
        <x:v>kg</x:v>
      </x:c>
      <x:c r="F10" s="44"/>
      <x:c r="G10" s="44"/>
      <x:c r="H10" s="44"/>
      <x:c r="I10" s="44"/>
      <x:c r="J10" s="44"/>
      <x:c r="K10" s="44"/>
      <x:c r="L10" s="44"/>
      <x:c r="M10" s="44"/>
      <x:c r="N10" s="44"/>
    </x:row>
    <x:row r="11" ht="15" hidden="0" customHeight="1">
      <x:c r="A11" s="108" t="str">
        <x:v>3.2</x:v>
      </x:c>
      <x:c r="B11" s="122" t="str">
        <x:v>TERC</x:v>
      </x:c>
      <x:c r="C11" s="138" t="n">
        <x:v>2</x:v>
      </x:c>
      <x:c r="D11" s="138" t="n">
        <x:v>10</x:v>
      </x:c>
      <x:c r="E11" s="109" t="str">
        <x:v>m2</x:v>
      </x:c>
      <x:c r="F11" s="44"/>
      <x:c r="G11" s="44"/>
      <x:c r="H11" s="44"/>
      <x:c r="I11" s="44"/>
      <x:c r="J11" s="44"/>
      <x:c r="K11" s="44"/>
      <x:c r="L11" s="44"/>
      <x:c r="M11" s="44"/>
      <x:c r="N11" s="44"/>
    </x:row>
    <x:row r="12" ht="15" hidden="0" customHeight="1">
      <x:c r="A12" s="108" t="str">
        <x:v>3.2</x:v>
      </x:c>
      <x:c r="B12" s="122" t="str">
        <x:v>MADERA</x:v>
      </x:c>
      <x:c r="C12" s="138" t="n">
        <x:v>3</x:v>
      </x:c>
      <x:c r="D12" s="138" t="n">
        <x:v>10</x:v>
      </x:c>
      <x:c r="E12" s="109" t="str">
        <x:v>ml</x:v>
      </x:c>
      <x:c r="F12" s="44"/>
      <x:c r="G12" s="44"/>
      <x:c r="H12" s="44"/>
      <x:c r="I12" s="44"/>
      <x:c r="J12" s="44"/>
      <x:c r="K12" s="44"/>
      <x:c r="L12" s="44"/>
      <x:c r="M12" s="44"/>
      <x:c r="N12" s="44"/>
    </x:row>
    <x:row r="13" ht="15" hidden="0" customHeight="1">
      <x:c r="A13" s="108" t="str">
        <x:v>3.2</x:v>
      </x:c>
      <x:c r="B13" s="122" t="str">
        <x:v>CLAVOS</x:v>
      </x:c>
      <x:c r="C13" s="138" t="n">
        <x:v>0.4</x:v>
      </x:c>
      <x:c r="D13" s="138" t="n">
        <x:v>5</x:v>
      </x:c>
      <x:c r="E13" s="109" t="str">
        <x:v>kg</x:v>
      </x:c>
      <x:c r="F13" s="44"/>
      <x:c r="G13" s="44"/>
      <x:c r="H13" s="44"/>
      <x:c r="I13" s="44"/>
      <x:c r="J13" s="44"/>
      <x:c r="K13" s="44"/>
      <x:c r="L13" s="44"/>
      <x:c r="M13" s="44"/>
      <x:c r="N13" s="44"/>
    </x:row>
    <x:row r="14" ht="15" hidden="0" customHeight="1">
      <x:c r="A14" s="108" t="str">
        <x:v>3.1</x:v>
      </x:c>
      <x:c r="B14" s="122" t="str">
        <x:v>CEM50</x:v>
      </x:c>
      <x:c r="C14" s="138" t="n">
        <x:v>8</x:v>
      </x:c>
      <x:c r="D14" s="138" t="n">
        <x:v>3</x:v>
      </x:c>
      <x:c r="E14" s="109" t="str">
        <x:v>bolsa</x:v>
      </x:c>
      <x:c r="F14" s="44"/>
      <x:c r="G14" s="44"/>
      <x:c r="H14" s="44"/>
      <x:c r="I14" s="44"/>
      <x:c r="J14" s="44"/>
      <x:c r="K14" s="44"/>
      <x:c r="L14" s="44"/>
      <x:c r="M14" s="44"/>
      <x:c r="N14" s="44"/>
    </x:row>
    <x:row r="15" ht="15" hidden="0" customHeight="1">
      <x:c r="A15" s="108" t="str">
        <x:v>3.1</x:v>
      </x:c>
      <x:c r="B15" s="122" t="str">
        <x:v>ARENA</x:v>
      </x:c>
      <x:c r="C15" s="138" t="n">
        <x:v>0.55</x:v>
      </x:c>
      <x:c r="D15" s="138" t="n">
        <x:v>5</x:v>
      </x:c>
      <x:c r="E15" s="109" t="str">
        <x:v>m3</x:v>
      </x:c>
      <x:c r="F15" s="44"/>
      <x:c r="G15" s="44"/>
      <x:c r="H15" s="44"/>
      <x:c r="I15" s="44"/>
      <x:c r="J15" s="44"/>
      <x:c r="K15" s="44"/>
      <x:c r="L15" s="44"/>
      <x:c r="M15" s="44"/>
      <x:c r="N15" s="44"/>
    </x:row>
    <x:row r="16" ht="15" hidden="0" customHeight="1">
      <x:c r="A16" s="108" t="str">
        <x:v>3.1</x:v>
      </x:c>
      <x:c r="B16" s="122" t="str">
        <x:v>PIEDRA</x:v>
      </x:c>
      <x:c r="C16" s="138" t="n">
        <x:v>0.8</x:v>
      </x:c>
      <x:c r="D16" s="138" t="n">
        <x:v>5</x:v>
      </x:c>
      <x:c r="E16" s="109" t="str">
        <x:v>m3</x:v>
      </x:c>
      <x:c r="F16" s="44"/>
      <x:c r="G16" s="44"/>
      <x:c r="H16" s="44"/>
      <x:c r="I16" s="44"/>
      <x:c r="J16" s="44"/>
      <x:c r="K16" s="44"/>
      <x:c r="L16" s="44"/>
      <x:c r="M16" s="44"/>
      <x:c r="N16" s="44"/>
    </x:row>
    <x:row r="17" ht="15" hidden="0" customHeight="1">
      <x:c r="A17" s="108" t="str">
        <x:v>3.1</x:v>
      </x:c>
      <x:c r="B17" s="122" t="str">
        <x:v>ACERO</x:v>
      </x:c>
      <x:c r="C17" s="138" t="n">
        <x:v>120</x:v>
      </x:c>
      <x:c r="D17" s="138" t="n">
        <x:v>3</x:v>
      </x:c>
      <x:c r="E17" s="109" t="str">
        <x:v>kg</x:v>
      </x:c>
      <x:c r="F17" s="44"/>
      <x:c r="G17" s="44"/>
      <x:c r="H17" s="44"/>
      <x:c r="I17" s="44"/>
      <x:c r="J17" s="44"/>
      <x:c r="K17" s="44"/>
      <x:c r="L17" s="44"/>
      <x:c r="M17" s="44"/>
      <x:c r="N17" s="44"/>
    </x:row>
    <x:row r="18" ht="15" hidden="0" customHeight="1">
      <x:c r="A18" s="108" t="str">
        <x:v>3.1</x:v>
      </x:c>
      <x:c r="B18" s="122" t="str">
        <x:v>TERC</x:v>
      </x:c>
      <x:c r="C18" s="138" t="n">
        <x:v>1.5</x:v>
      </x:c>
      <x:c r="D18" s="138" t="n">
        <x:v>10</x:v>
      </x:c>
      <x:c r="E18" s="109" t="str">
        <x:v>m2</x:v>
      </x:c>
      <x:c r="F18" s="44"/>
      <x:c r="G18" s="44"/>
      <x:c r="H18" s="44"/>
      <x:c r="I18" s="44"/>
      <x:c r="J18" s="44"/>
      <x:c r="K18" s="44"/>
      <x:c r="L18" s="44"/>
      <x:c r="M18" s="44"/>
      <x:c r="N18" s="44"/>
    </x:row>
    <x:row r="19" ht="15" hidden="0" customHeight="1">
      <x:c r="A19" s="108" t="str">
        <x:v>3.1</x:v>
      </x:c>
      <x:c r="B19" s="122" t="str">
        <x:v>MADERA</x:v>
      </x:c>
      <x:c r="C19" s="138" t="n">
        <x:v>2</x:v>
      </x:c>
      <x:c r="D19" s="138" t="n">
        <x:v>10</x:v>
      </x:c>
      <x:c r="E19" s="109" t="str">
        <x:v>ml</x:v>
      </x:c>
      <x:c r="F19" s="44"/>
      <x:c r="G19" s="44"/>
      <x:c r="H19" s="44"/>
      <x:c r="I19" s="44"/>
      <x:c r="J19" s="44"/>
      <x:c r="K19" s="44"/>
      <x:c r="L19" s="44"/>
      <x:c r="M19" s="44"/>
      <x:c r="N19" s="44"/>
    </x:row>
    <x:row r="20" ht="15" hidden="0" customHeight="1">
      <x:c r="A20" s="112" t="str">
        <x:v>3.1</x:v>
      </x:c>
      <x:c r="B20" s="125" t="str">
        <x:v>CLAVOS</x:v>
      </x:c>
      <x:c r="C20" s="139" t="n">
        <x:v>0.3</x:v>
      </x:c>
      <x:c r="D20" s="139" t="n">
        <x:v>5</x:v>
      </x:c>
      <x:c r="E20" s="128" t="str">
        <x:v>kg</x:v>
      </x:c>
      <x:c r="F20" s="44"/>
      <x:c r="G20" s="44"/>
      <x:c r="H20" s="44"/>
      <x:c r="I20" s="44"/>
      <x:c r="J20" s="44"/>
      <x:c r="K20" s="44"/>
      <x:c r="L20" s="44"/>
      <x:c r="M20" s="44"/>
      <x:c r="N20" s="44"/>
    </x:row>
    <x:row r="21" ht="15" hidden="0" customHeight="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</x:row>
    <x:row r="22" ht="15" hidden="0" customHeight="1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</x:row>
    <x:row r="23" ht="15" hidden="0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</x:row>
    <x:row r="24" ht="15" hidden="0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</x:row>
    <x:row r="25" ht="15" hidden="0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</x:row>
    <x:row r="26" ht="15" hidden="0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</x:row>
    <x:row r="27" ht="15" hidden="0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</x:row>
    <x:row r="28" ht="15" hidden="0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</x:row>
    <x:row r="29" ht="15" hidden="0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</x:row>
    <x:row r="30" ht="15" hidden="0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</x:row>
    <x:row r="31" ht="15" hidden="0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</x:row>
    <x:row r="32" ht="15" hidden="0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</x:row>
    <x:row r="33" ht="15" hidden="0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</x:row>
    <x:row r="34" ht="15" hidden="0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</x:row>
    <x:row r="35" ht="15" hidden="0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</x:row>
    <x:row r="36" ht="15" hidden="0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</x:row>
    <x:row r="37" ht="15" hidden="0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</x:row>
    <x:row r="38" ht="15" hidden="0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</x:row>
    <x:row r="39" ht="15" hidden="0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</x:row>
    <x:row r="40" ht="15" hidden="0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4.5" hidden="0" customWidth="1"/>
    <x:col min="2" max="2" width="13.5" hidden="0" customWidth="1"/>
    <x:col min="3" max="3" width="7.630000114440918" hidden="0" customWidth="1"/>
    <x:col min="4" max="4" width="9.130000114440918" hidden="0" customWidth="1"/>
    <x:col min="5" max="5" width="10.25" hidden="0" customWidth="1"/>
    <x:col min="6" max="6" width="9.380000114440918" hidden="0" customWidth="1"/>
    <x:col min="7" max="7" width="10.380000114440918" hidden="0" customWidth="1"/>
    <x:col min="8" max="8" width="11.380000114440918" hidden="0" customWidth="1"/>
    <x:col min="9" max="9" width="5.25" hidden="0" customWidth="1"/>
  </x:cols>
  <x:sheetData>
    <x:row r="1" ht="16.799999237060547" hidden="0" customHeight="1">
      <x:c r="A1" s="106" t="str">
        <x:v>Explosión por frente — target × BOM × (1 + desperdicio)</x:v>
      </x:c>
      <x:c r="B1" s="106"/>
      <x:c r="C1" s="106"/>
      <x:c r="D1" s="106"/>
      <x:c r="E1" s="106"/>
      <x:c r="F1" s="106"/>
      <x:c r="G1" s="106"/>
      <x:c r="H1" s="106"/>
      <x:c r="I1" s="106"/>
      <x:c r="J1" s="44"/>
      <x:c r="K1" s="44"/>
      <x:c r="L1" s="44"/>
      <x:c r="M1" s="44"/>
      <x:c r="N1" s="44"/>
    </x:row>
    <x:row r="2" ht="15" hidden="0" customHeight="1">
      <x:c r="A2" s="44"/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</x:row>
    <x:row r="3" ht="15" hidden="0" customHeight="1">
      <x:c r="A3" s="18" t="str">
        <x:v>Código</x:v>
      </x:c>
      <x:c r="B3" s="56" t="str">
        <x:v>Frente</x:v>
      </x:c>
      <x:c r="C3" s="56" t="str">
        <x:v>SKU</x:v>
      </x:c>
      <x:c r="D3" s="56" t="str">
        <x:v>Unidad mat.</x:v>
      </x:c>
      <x:c r="E3" s="56" t="str">
        <x:v>Target partida</x:v>
      </x:c>
      <x:c r="F3" s="56" t="str">
        <x:v>Qty / unidad</x:v>
      </x:c>
      <x:c r="G3" s="56" t="str">
        <x:v>Desperdicio %</x:v>
      </x:c>
      <x:c r="H3" s="56" t="str">
        <x:v>Demanda bruta</x:v>
      </x:c>
      <x:c r="I3" s="19" t="str">
        <x:v>Origen</x:v>
      </x:c>
      <x:c r="J3" s="44"/>
      <x:c r="K3" s="44"/>
      <x:c r="L3" s="44"/>
      <x:c r="M3" s="44"/>
      <x:c r="N3" s="44"/>
    </x:row>
    <x:row r="4" ht="15" hidden="0" customHeight="1">
      <x:c r="A4" s="108" t="str">
        <x:v>4.1</x:v>
      </x:c>
      <x:c r="B4" s="122" t="str">
        <x:v>Sector A</x:v>
      </x:c>
      <x:c r="C4" s="122" t="str">
        <x:v>LADRILLO</x:v>
      </x:c>
      <x:c r="D4" s="122" t="str">
        <x:v>un</x:v>
      </x:c>
      <x:c r="E4" s="138" t="n">
        <x:f>SUMIFS('01_Plan_Semanal'!$J$5:$J$8,'01_Plan_Semanal'!$A$5:$A$8,A4,'01_Plan_Semanal'!$C$5:$C$8,B4)</x:f>
        <x:v>72</x:v>
      </x:c>
      <x:c r="F4" s="138" t="n">
        <x:v>50</x:v>
      </x:c>
      <x:c r="G4" s="138" t="n">
        <x:v>5</x:v>
      </x:c>
      <x:c r="H4" s="138" t="n">
        <x:f>E4*F4*(1+G4/100)</x:f>
        <x:v>3780</x:v>
      </x:c>
      <x:c r="I4" s="109" t="str">
        <x:v>BOM</x:v>
      </x:c>
      <x:c r="J4" s="44"/>
      <x:c r="K4" s="44"/>
      <x:c r="L4" s="44"/>
      <x:c r="M4" s="44"/>
      <x:c r="N4" s="44"/>
    </x:row>
    <x:row r="5" ht="15" hidden="0" customHeight="1">
      <x:c r="A5" s="108" t="str">
        <x:v>4.1</x:v>
      </x:c>
      <x:c r="B5" s="122" t="str">
        <x:v>Sector A</x:v>
      </x:c>
      <x:c r="C5" s="122" t="str">
        <x:v>CEM50</x:v>
      </x:c>
      <x:c r="D5" s="122" t="str">
        <x:v>bolsa</x:v>
      </x:c>
      <x:c r="E5" s="138" t="n">
        <x:f>SUMIFS('01_Plan_Semanal'!$J$5:$J$8,'01_Plan_Semanal'!$A$5:$A$8,A5,'01_Plan_Semanal'!$C$5:$C$8,B5)</x:f>
        <x:v>72</x:v>
      </x:c>
      <x:c r="F5" s="138" t="n">
        <x:v>0.18</x:v>
      </x:c>
      <x:c r="G5" s="138" t="n">
        <x:v>3</x:v>
      </x:c>
      <x:c r="H5" s="138" t="n">
        <x:f>E5*F5*(1+G5/100)</x:f>
        <x:v>13.348799999999999</x:v>
      </x:c>
      <x:c r="I5" s="109" t="str">
        <x:v>BOM</x:v>
      </x:c>
      <x:c r="J5" s="44"/>
      <x:c r="K5" s="44"/>
      <x:c r="L5" s="44"/>
      <x:c r="M5" s="44"/>
      <x:c r="N5" s="44"/>
    </x:row>
    <x:row r="6" ht="15" hidden="0" customHeight="1">
      <x:c r="A6" s="108" t="str">
        <x:v>4.1</x:v>
      </x:c>
      <x:c r="B6" s="122" t="str">
        <x:v>Sector A</x:v>
      </x:c>
      <x:c r="C6" s="122" t="str">
        <x:v>ARENA</x:v>
      </x:c>
      <x:c r="D6" s="122" t="str">
        <x:v>m3</x:v>
      </x:c>
      <x:c r="E6" s="138" t="n">
        <x:f>SUMIFS('01_Plan_Semanal'!$J$5:$J$8,'01_Plan_Semanal'!$A$5:$A$8,A6,'01_Plan_Semanal'!$C$5:$C$8,B6)</x:f>
        <x:v>72</x:v>
      </x:c>
      <x:c r="F6" s="138" t="n">
        <x:v>0.03</x:v>
      </x:c>
      <x:c r="G6" s="138" t="n">
        <x:v>5</x:v>
      </x:c>
      <x:c r="H6" s="138" t="n">
        <x:f>E6*F6*(1+G6/100)</x:f>
        <x:v>2.2680000000000002</x:v>
      </x:c>
      <x:c r="I6" s="109" t="str">
        <x:v>BOM</x:v>
      </x:c>
      <x:c r="J6" s="44"/>
      <x:c r="K6" s="44"/>
      <x:c r="L6" s="44"/>
      <x:c r="M6" s="44"/>
      <x:c r="N6" s="44"/>
    </x:row>
    <x:row r="7" ht="15" hidden="0" customHeight="1">
      <x:c r="A7" s="108" t="str">
        <x:v>4.1</x:v>
      </x:c>
      <x:c r="B7" s="122" t="str">
        <x:v>Sector B</x:v>
      </x:c>
      <x:c r="C7" s="122" t="str">
        <x:v>LADRILLO</x:v>
      </x:c>
      <x:c r="D7" s="122" t="str">
        <x:v>un</x:v>
      </x:c>
      <x:c r="E7" s="138" t="n">
        <x:f>SUMIFS('01_Plan_Semanal'!$J$5:$J$8,'01_Plan_Semanal'!$A$5:$A$8,A7,'01_Plan_Semanal'!$C$5:$C$8,B7)</x:f>
        <x:v>48</x:v>
      </x:c>
      <x:c r="F7" s="138" t="n">
        <x:v>50</x:v>
      </x:c>
      <x:c r="G7" s="138" t="n">
        <x:v>5</x:v>
      </x:c>
      <x:c r="H7" s="138" t="n">
        <x:f>E7*F7*(1+G7/100)</x:f>
        <x:v>2520</x:v>
      </x:c>
      <x:c r="I7" s="109" t="str">
        <x:v>BOM</x:v>
      </x:c>
      <x:c r="J7" s="44"/>
      <x:c r="K7" s="44"/>
      <x:c r="L7" s="44"/>
      <x:c r="M7" s="44"/>
      <x:c r="N7" s="44"/>
    </x:row>
    <x:row r="8" ht="15" hidden="0" customHeight="1">
      <x:c r="A8" s="108" t="str">
        <x:v>4.1</x:v>
      </x:c>
      <x:c r="B8" s="122" t="str">
        <x:v>Sector B</x:v>
      </x:c>
      <x:c r="C8" s="122" t="str">
        <x:v>CEM50</x:v>
      </x:c>
      <x:c r="D8" s="122" t="str">
        <x:v>bolsa</x:v>
      </x:c>
      <x:c r="E8" s="138" t="n">
        <x:f>SUMIFS('01_Plan_Semanal'!$J$5:$J$8,'01_Plan_Semanal'!$A$5:$A$8,A8,'01_Plan_Semanal'!$C$5:$C$8,B8)</x:f>
        <x:v>48</x:v>
      </x:c>
      <x:c r="F8" s="138" t="n">
        <x:v>0.18</x:v>
      </x:c>
      <x:c r="G8" s="138" t="n">
        <x:v>3</x:v>
      </x:c>
      <x:c r="H8" s="138" t="n">
        <x:f>E8*F8*(1+G8/100)</x:f>
        <x:v>8.8992</x:v>
      </x:c>
      <x:c r="I8" s="109" t="str">
        <x:v>BOM</x:v>
      </x:c>
      <x:c r="J8" s="44"/>
      <x:c r="K8" s="44"/>
      <x:c r="L8" s="44"/>
      <x:c r="M8" s="44"/>
      <x:c r="N8" s="44"/>
    </x:row>
    <x:row r="9" ht="15" hidden="0" customHeight="1">
      <x:c r="A9" s="108" t="str">
        <x:v>4.1</x:v>
      </x:c>
      <x:c r="B9" s="122" t="str">
        <x:v>Sector B</x:v>
      </x:c>
      <x:c r="C9" s="122" t="str">
        <x:v>ARENA</x:v>
      </x:c>
      <x:c r="D9" s="122" t="str">
        <x:v>m3</x:v>
      </x:c>
      <x:c r="E9" s="138" t="n">
        <x:f>SUMIFS('01_Plan_Semanal'!$J$5:$J$8,'01_Plan_Semanal'!$A$5:$A$8,A9,'01_Plan_Semanal'!$C$5:$C$8,B9)</x:f>
        <x:v>48</x:v>
      </x:c>
      <x:c r="F9" s="138" t="n">
        <x:v>0.03</x:v>
      </x:c>
      <x:c r="G9" s="138" t="n">
        <x:v>5</x:v>
      </x:c>
      <x:c r="H9" s="138" t="n">
        <x:f>E9*F9*(1+G9/100)</x:f>
        <x:v>1.512</x:v>
      </x:c>
      <x:c r="I9" s="109" t="str">
        <x:v>BOM</x:v>
      </x:c>
      <x:c r="J9" s="44"/>
      <x:c r="K9" s="44"/>
      <x:c r="L9" s="44"/>
      <x:c r="M9" s="44"/>
      <x:c r="N9" s="44"/>
    </x:row>
    <x:row r="10" ht="15" hidden="0" customHeight="1">
      <x:c r="A10" s="108" t="str">
        <x:v>3.2</x:v>
      </x:c>
      <x:c r="B10" s="122" t="str">
        <x:v>Frente estructura</x:v>
      </x:c>
      <x:c r="C10" s="122" t="str">
        <x:v>CEM50</x:v>
      </x:c>
      <x:c r="D10" s="122" t="str">
        <x:v>bolsa</x:v>
      </x:c>
      <x:c r="E10" s="138" t="n">
        <x:f>SUMIFS('01_Plan_Semanal'!$J$5:$J$8,'01_Plan_Semanal'!$A$5:$A$8,A10,'01_Plan_Semanal'!$C$5:$C$8,B10)</x:f>
        <x:v>8</x:v>
      </x:c>
      <x:c r="F10" s="138" t="n">
        <x:v>8</x:v>
      </x:c>
      <x:c r="G10" s="138" t="n">
        <x:v>3</x:v>
      </x:c>
      <x:c r="H10" s="138" t="n">
        <x:f>E10*F10*(1+G10/100)</x:f>
        <x:v>65.92</x:v>
      </x:c>
      <x:c r="I10" s="109" t="str">
        <x:v>BOM</x:v>
      </x:c>
      <x:c r="J10" s="44"/>
      <x:c r="K10" s="44"/>
      <x:c r="L10" s="44"/>
      <x:c r="M10" s="44"/>
      <x:c r="N10" s="44"/>
    </x:row>
    <x:row r="11" ht="15" hidden="0" customHeight="1">
      <x:c r="A11" s="108" t="str">
        <x:v>3.2</x:v>
      </x:c>
      <x:c r="B11" s="122" t="str">
        <x:v>Frente estructura</x:v>
      </x:c>
      <x:c r="C11" s="122" t="str">
        <x:v>ARENA</x:v>
      </x:c>
      <x:c r="D11" s="122" t="str">
        <x:v>m3</x:v>
      </x:c>
      <x:c r="E11" s="138" t="n">
        <x:f>SUMIFS('01_Plan_Semanal'!$J$5:$J$8,'01_Plan_Semanal'!$A$5:$A$8,A11,'01_Plan_Semanal'!$C$5:$C$8,B11)</x:f>
        <x:v>8</x:v>
      </x:c>
      <x:c r="F11" s="138" t="n">
        <x:v>0.55</x:v>
      </x:c>
      <x:c r="G11" s="138" t="n">
        <x:v>5</x:v>
      </x:c>
      <x:c r="H11" s="138" t="n">
        <x:f>E11*F11*(1+G11/100)</x:f>
        <x:v>4.620000000000001</x:v>
      </x:c>
      <x:c r="I11" s="109" t="str">
        <x:v>BOM</x:v>
      </x:c>
      <x:c r="J11" s="44"/>
      <x:c r="K11" s="44"/>
      <x:c r="L11" s="44"/>
      <x:c r="M11" s="44"/>
      <x:c r="N11" s="44"/>
    </x:row>
    <x:row r="12" ht="15" hidden="0" customHeight="1">
      <x:c r="A12" s="108" t="str">
        <x:v>3.2</x:v>
      </x:c>
      <x:c r="B12" s="122" t="str">
        <x:v>Frente estructura</x:v>
      </x:c>
      <x:c r="C12" s="122" t="str">
        <x:v>PIEDRA</x:v>
      </x:c>
      <x:c r="D12" s="122" t="str">
        <x:v>m3</x:v>
      </x:c>
      <x:c r="E12" s="138" t="n">
        <x:f>SUMIFS('01_Plan_Semanal'!$J$5:$J$8,'01_Plan_Semanal'!$A$5:$A$8,A12,'01_Plan_Semanal'!$C$5:$C$8,B12)</x:f>
        <x:v>8</x:v>
      </x:c>
      <x:c r="F12" s="138" t="n">
        <x:v>0.8</x:v>
      </x:c>
      <x:c r="G12" s="138" t="n">
        <x:v>5</x:v>
      </x:c>
      <x:c r="H12" s="138" t="n">
        <x:f>E12*F12*(1+G12/100)</x:f>
        <x:v>6.720000000000001</x:v>
      </x:c>
      <x:c r="I12" s="109" t="str">
        <x:v>BOM</x:v>
      </x:c>
      <x:c r="J12" s="44"/>
      <x:c r="K12" s="44"/>
      <x:c r="L12" s="44"/>
      <x:c r="M12" s="44"/>
      <x:c r="N12" s="44"/>
    </x:row>
    <x:row r="13" ht="15" hidden="0" customHeight="1">
      <x:c r="A13" s="108" t="str">
        <x:v>3.2</x:v>
      </x:c>
      <x:c r="B13" s="122" t="str">
        <x:v>Frente estructura</x:v>
      </x:c>
      <x:c r="C13" s="122" t="str">
        <x:v>ACERO</x:v>
      </x:c>
      <x:c r="D13" s="122" t="str">
        <x:v>kg</x:v>
      </x:c>
      <x:c r="E13" s="138" t="n">
        <x:f>SUMIFS('01_Plan_Semanal'!$J$5:$J$8,'01_Plan_Semanal'!$A$5:$A$8,A13,'01_Plan_Semanal'!$C$5:$C$8,B13)</x:f>
        <x:v>8</x:v>
      </x:c>
      <x:c r="F13" s="138" t="n">
        <x:v>150</x:v>
      </x:c>
      <x:c r="G13" s="138" t="n">
        <x:v>3</x:v>
      </x:c>
      <x:c r="H13" s="138" t="n">
        <x:f>E13*F13*(1+G13/100)</x:f>
        <x:v>1236</x:v>
      </x:c>
      <x:c r="I13" s="109" t="str">
        <x:v>BOM</x:v>
      </x:c>
      <x:c r="J13" s="44"/>
      <x:c r="K13" s="44"/>
      <x:c r="L13" s="44"/>
      <x:c r="M13" s="44"/>
      <x:c r="N13" s="44"/>
    </x:row>
    <x:row r="14" ht="15" hidden="0" customHeight="1">
      <x:c r="A14" s="108" t="str">
        <x:v>3.2</x:v>
      </x:c>
      <x:c r="B14" s="122" t="str">
        <x:v>Frente estructura</x:v>
      </x:c>
      <x:c r="C14" s="122" t="str">
        <x:v>TERC</x:v>
      </x:c>
      <x:c r="D14" s="122" t="str">
        <x:v>m2</x:v>
      </x:c>
      <x:c r="E14" s="138" t="n">
        <x:f>SUMIFS('01_Plan_Semanal'!$J$5:$J$8,'01_Plan_Semanal'!$A$5:$A$8,A14,'01_Plan_Semanal'!$C$5:$C$8,B14)</x:f>
        <x:v>8</x:v>
      </x:c>
      <x:c r="F14" s="138" t="n">
        <x:v>2</x:v>
      </x:c>
      <x:c r="G14" s="138" t="n">
        <x:v>10</x:v>
      </x:c>
      <x:c r="H14" s="138" t="n">
        <x:f>E14*F14*(1+G14/100)</x:f>
        <x:v>17.6</x:v>
      </x:c>
      <x:c r="I14" s="109" t="str">
        <x:v>BOM</x:v>
      </x:c>
      <x:c r="J14" s="44"/>
      <x:c r="K14" s="44"/>
      <x:c r="L14" s="44"/>
      <x:c r="M14" s="44"/>
      <x:c r="N14" s="44"/>
    </x:row>
    <x:row r="15" ht="15" hidden="0" customHeight="1">
      <x:c r="A15" s="108" t="str">
        <x:v>3.2</x:v>
      </x:c>
      <x:c r="B15" s="122" t="str">
        <x:v>Frente estructura</x:v>
      </x:c>
      <x:c r="C15" s="122" t="str">
        <x:v>MADERA</x:v>
      </x:c>
      <x:c r="D15" s="122" t="str">
        <x:v>ml</x:v>
      </x:c>
      <x:c r="E15" s="138" t="n">
        <x:f>SUMIFS('01_Plan_Semanal'!$J$5:$J$8,'01_Plan_Semanal'!$A$5:$A$8,A15,'01_Plan_Semanal'!$C$5:$C$8,B15)</x:f>
        <x:v>8</x:v>
      </x:c>
      <x:c r="F15" s="138" t="n">
        <x:v>3</x:v>
      </x:c>
      <x:c r="G15" s="138" t="n">
        <x:v>10</x:v>
      </x:c>
      <x:c r="H15" s="138" t="n">
        <x:f>E15*F15*(1+G15/100)</x:f>
        <x:v>26.400000000000002</x:v>
      </x:c>
      <x:c r="I15" s="109" t="str">
        <x:v>BOM</x:v>
      </x:c>
      <x:c r="J15" s="44"/>
      <x:c r="K15" s="44"/>
      <x:c r="L15" s="44"/>
      <x:c r="M15" s="44"/>
      <x:c r="N15" s="44"/>
    </x:row>
    <x:row r="16" ht="15" hidden="0" customHeight="1">
      <x:c r="A16" s="108" t="str">
        <x:v>3.2</x:v>
      </x:c>
      <x:c r="B16" s="122" t="str">
        <x:v>Frente estructura</x:v>
      </x:c>
      <x:c r="C16" s="122" t="str">
        <x:v>CLAVOS</x:v>
      </x:c>
      <x:c r="D16" s="122" t="str">
        <x:v>kg</x:v>
      </x:c>
      <x:c r="E16" s="138" t="n">
        <x:f>SUMIFS('01_Plan_Semanal'!$J$5:$J$8,'01_Plan_Semanal'!$A$5:$A$8,A16,'01_Plan_Semanal'!$C$5:$C$8,B16)</x:f>
        <x:v>8</x:v>
      </x:c>
      <x:c r="F16" s="138" t="n">
        <x:v>0.4</x:v>
      </x:c>
      <x:c r="G16" s="138" t="n">
        <x:v>5</x:v>
      </x:c>
      <x:c r="H16" s="138" t="n">
        <x:f>E16*F16*(1+G16/100)</x:f>
        <x:v>3.3600000000000003</x:v>
      </x:c>
      <x:c r="I16" s="109" t="str">
        <x:v>BOM</x:v>
      </x:c>
      <x:c r="J16" s="44"/>
      <x:c r="K16" s="44"/>
      <x:c r="L16" s="44"/>
      <x:c r="M16" s="44"/>
      <x:c r="N16" s="44"/>
    </x:row>
    <x:row r="17" ht="15" hidden="0" customHeight="1">
      <x:c r="A17" s="108" t="str">
        <x:v>3.1</x:v>
      </x:c>
      <x:c r="B17" s="122" t="str">
        <x:v>Planta alta</x:v>
      </x:c>
      <x:c r="C17" s="122" t="str">
        <x:v>CEM50</x:v>
      </x:c>
      <x:c r="D17" s="122" t="str">
        <x:v>bolsa</x:v>
      </x:c>
      <x:c r="E17" s="138" t="n">
        <x:f>SUMIFS('01_Plan_Semanal'!$J$5:$J$8,'01_Plan_Semanal'!$A$5:$A$8,A17,'01_Plan_Semanal'!$C$5:$C$8,B17)</x:f>
        <x:v>3.5</x:v>
      </x:c>
      <x:c r="F17" s="138" t="n">
        <x:v>8</x:v>
      </x:c>
      <x:c r="G17" s="138" t="n">
        <x:v>3</x:v>
      </x:c>
      <x:c r="H17" s="138" t="n">
        <x:f>E17*F17*(1+G17/100)</x:f>
        <x:v>28.84</x:v>
      </x:c>
      <x:c r="I17" s="109" t="str">
        <x:v>BOM</x:v>
      </x:c>
      <x:c r="J17" s="44"/>
      <x:c r="K17" s="44"/>
      <x:c r="L17" s="44"/>
      <x:c r="M17" s="44"/>
      <x:c r="N17" s="44"/>
    </x:row>
    <x:row r="18" ht="15" hidden="0" customHeight="1">
      <x:c r="A18" s="108" t="str">
        <x:v>3.1</x:v>
      </x:c>
      <x:c r="B18" s="122" t="str">
        <x:v>Planta alta</x:v>
      </x:c>
      <x:c r="C18" s="122" t="str">
        <x:v>ARENA</x:v>
      </x:c>
      <x:c r="D18" s="122" t="str">
        <x:v>m3</x:v>
      </x:c>
      <x:c r="E18" s="138" t="n">
        <x:f>SUMIFS('01_Plan_Semanal'!$J$5:$J$8,'01_Plan_Semanal'!$A$5:$A$8,A18,'01_Plan_Semanal'!$C$5:$C$8,B18)</x:f>
        <x:v>3.5</x:v>
      </x:c>
      <x:c r="F18" s="138" t="n">
        <x:v>0.55</x:v>
      </x:c>
      <x:c r="G18" s="138" t="n">
        <x:v>5</x:v>
      </x:c>
      <x:c r="H18" s="138" t="n">
        <x:f>E18*F18*(1+G18/100)</x:f>
        <x:v>2.02125</x:v>
      </x:c>
      <x:c r="I18" s="109" t="str">
        <x:v>BOM</x:v>
      </x:c>
      <x:c r="J18" s="44"/>
      <x:c r="K18" s="44"/>
      <x:c r="L18" s="44"/>
      <x:c r="M18" s="44"/>
      <x:c r="N18" s="44"/>
    </x:row>
    <x:row r="19" ht="15" hidden="0" customHeight="1">
      <x:c r="A19" s="108" t="str">
        <x:v>3.1</x:v>
      </x:c>
      <x:c r="B19" s="122" t="str">
        <x:v>Planta alta</x:v>
      </x:c>
      <x:c r="C19" s="122" t="str">
        <x:v>PIEDRA</x:v>
      </x:c>
      <x:c r="D19" s="122" t="str">
        <x:v>m3</x:v>
      </x:c>
      <x:c r="E19" s="138" t="n">
        <x:f>SUMIFS('01_Plan_Semanal'!$J$5:$J$8,'01_Plan_Semanal'!$A$5:$A$8,A19,'01_Plan_Semanal'!$C$5:$C$8,B19)</x:f>
        <x:v>3.5</x:v>
      </x:c>
      <x:c r="F19" s="138" t="n">
        <x:v>0.8</x:v>
      </x:c>
      <x:c r="G19" s="138" t="n">
        <x:v>5</x:v>
      </x:c>
      <x:c r="H19" s="138" t="n">
        <x:f>E19*F19*(1+G19/100)</x:f>
        <x:v>2.9400000000000004</x:v>
      </x:c>
      <x:c r="I19" s="109" t="str">
        <x:v>BOM</x:v>
      </x:c>
      <x:c r="J19" s="44"/>
      <x:c r="K19" s="44"/>
      <x:c r="L19" s="44"/>
      <x:c r="M19" s="44"/>
      <x:c r="N19" s="44"/>
    </x:row>
    <x:row r="20" ht="15" hidden="0" customHeight="1">
      <x:c r="A20" s="108" t="str">
        <x:v>3.1</x:v>
      </x:c>
      <x:c r="B20" s="122" t="str">
        <x:v>Planta alta</x:v>
      </x:c>
      <x:c r="C20" s="122" t="str">
        <x:v>ACERO</x:v>
      </x:c>
      <x:c r="D20" s="122" t="str">
        <x:v>kg</x:v>
      </x:c>
      <x:c r="E20" s="138" t="n">
        <x:f>SUMIFS('01_Plan_Semanal'!$J$5:$J$8,'01_Plan_Semanal'!$A$5:$A$8,A20,'01_Plan_Semanal'!$C$5:$C$8,B20)</x:f>
        <x:v>3.5</x:v>
      </x:c>
      <x:c r="F20" s="138" t="n">
        <x:v>120</x:v>
      </x:c>
      <x:c r="G20" s="138" t="n">
        <x:v>3</x:v>
      </x:c>
      <x:c r="H20" s="138" t="n">
        <x:f>E20*F20*(1+G20/100)</x:f>
        <x:v>432.6</x:v>
      </x:c>
      <x:c r="I20" s="109" t="str">
        <x:v>BOM</x:v>
      </x:c>
      <x:c r="J20" s="44"/>
      <x:c r="K20" s="44"/>
      <x:c r="L20" s="44"/>
      <x:c r="M20" s="44"/>
      <x:c r="N20" s="44"/>
    </x:row>
    <x:row r="21" ht="15" hidden="0" customHeight="1">
      <x:c r="A21" s="108" t="str">
        <x:v>3.1</x:v>
      </x:c>
      <x:c r="B21" s="122" t="str">
        <x:v>Planta alta</x:v>
      </x:c>
      <x:c r="C21" s="122" t="str">
        <x:v>TERC</x:v>
      </x:c>
      <x:c r="D21" s="122" t="str">
        <x:v>m2</x:v>
      </x:c>
      <x:c r="E21" s="138" t="n">
        <x:f>SUMIFS('01_Plan_Semanal'!$J$5:$J$8,'01_Plan_Semanal'!$A$5:$A$8,A21,'01_Plan_Semanal'!$C$5:$C$8,B21)</x:f>
        <x:v>3.5</x:v>
      </x:c>
      <x:c r="F21" s="138" t="n">
        <x:v>1.5</x:v>
      </x:c>
      <x:c r="G21" s="138" t="n">
        <x:v>10</x:v>
      </x:c>
      <x:c r="H21" s="138" t="n">
        <x:f>E21*F21*(1+G21/100)</x:f>
        <x:v>5.775</x:v>
      </x:c>
      <x:c r="I21" s="109" t="str">
        <x:v>BOM</x:v>
      </x:c>
      <x:c r="J21" s="44"/>
      <x:c r="K21" s="44"/>
      <x:c r="L21" s="44"/>
      <x:c r="M21" s="44"/>
      <x:c r="N21" s="44"/>
    </x:row>
    <x:row r="22" ht="15" hidden="0" customHeight="1">
      <x:c r="A22" s="108" t="str">
        <x:v>3.1</x:v>
      </x:c>
      <x:c r="B22" s="122" t="str">
        <x:v>Planta alta</x:v>
      </x:c>
      <x:c r="C22" s="122" t="str">
        <x:v>MADERA</x:v>
      </x:c>
      <x:c r="D22" s="122" t="str">
        <x:v>ml</x:v>
      </x:c>
      <x:c r="E22" s="138" t="n">
        <x:f>SUMIFS('01_Plan_Semanal'!$J$5:$J$8,'01_Plan_Semanal'!$A$5:$A$8,A22,'01_Plan_Semanal'!$C$5:$C$8,B22)</x:f>
        <x:v>3.5</x:v>
      </x:c>
      <x:c r="F22" s="138" t="n">
        <x:v>2</x:v>
      </x:c>
      <x:c r="G22" s="138" t="n">
        <x:v>10</x:v>
      </x:c>
      <x:c r="H22" s="138" t="n">
        <x:f>E22*F22*(1+G22/100)</x:f>
        <x:v>7.700000000000001</x:v>
      </x:c>
      <x:c r="I22" s="109" t="str">
        <x:v>BOM</x:v>
      </x:c>
      <x:c r="J22" s="44"/>
      <x:c r="K22" s="44"/>
      <x:c r="L22" s="44"/>
      <x:c r="M22" s="44"/>
      <x:c r="N22" s="44"/>
    </x:row>
    <x:row r="23" ht="15" hidden="0" customHeight="1">
      <x:c r="A23" s="112" t="str">
        <x:v>3.1</x:v>
      </x:c>
      <x:c r="B23" s="125" t="str">
        <x:v>Planta alta</x:v>
      </x:c>
      <x:c r="C23" s="125" t="str">
        <x:v>CLAVOS</x:v>
      </x:c>
      <x:c r="D23" s="125" t="str">
        <x:v>kg</x:v>
      </x:c>
      <x:c r="E23" s="139" t="n">
        <x:f>SUMIFS('01_Plan_Semanal'!$J$5:$J$8,'01_Plan_Semanal'!$A$5:$A$8,A23,'01_Plan_Semanal'!$C$5:$C$8,B23)</x:f>
        <x:v>3.5</x:v>
      </x:c>
      <x:c r="F23" s="139" t="n">
        <x:v>0.3</x:v>
      </x:c>
      <x:c r="G23" s="139" t="n">
        <x:v>5</x:v>
      </x:c>
      <x:c r="H23" s="139" t="n">
        <x:f>E23*F23*(1+G23/100)</x:f>
        <x:v>1.1025</x:v>
      </x:c>
      <x:c r="I23" s="128" t="str">
        <x:v>BOM</x:v>
      </x:c>
      <x:c r="J23" s="44"/>
      <x:c r="K23" s="44"/>
      <x:c r="L23" s="44"/>
      <x:c r="M23" s="44"/>
      <x:c r="N23" s="44"/>
    </x:row>
    <x:row r="24" ht="15" hidden="0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</x:row>
    <x:row r="25" ht="15" hidden="0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</x:row>
    <x:row r="26" ht="15" hidden="0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</x:row>
    <x:row r="27" ht="15" hidden="0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</x:row>
    <x:row r="28" ht="15" hidden="0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</x:row>
    <x:row r="29" ht="15" hidden="0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</x:row>
    <x:row r="30" ht="15" hidden="0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</x:row>
    <x:row r="31" ht="15" hidden="0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</x:row>
    <x:row r="32" ht="15" hidden="0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</x:row>
    <x:row r="33" ht="15" hidden="0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</x:row>
    <x:row r="34" ht="15" hidden="0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</x:row>
    <x:row r="35" ht="15" hidden="0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</x:row>
    <x:row r="36" ht="15" hidden="0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</x:row>
    <x:row r="37" ht="15" hidden="0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</x:row>
    <x:row r="38" ht="15" hidden="0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</x:row>
    <x:row r="39" ht="15" hidden="0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</x:row>
    <x:row r="40" ht="15" hidden="0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4.130001068115234" hidden="0" customWidth="1"/>
    <x:col min="2" max="2" width="28" hidden="0" customWidth="1"/>
    <x:col min="3" max="3" width="5.630000114440918" hidden="0" customWidth="1"/>
    <x:col min="4" max="4" width="7.5" hidden="0" customWidth="1"/>
    <x:col min="5" max="5" width="17.75" hidden="0" customWidth="1"/>
    <x:col min="6" max="6" width="9.630000114440918" hidden="0" customWidth="1"/>
    <x:col min="7" max="7" width="11.130000114440918" hidden="0" customWidth="1"/>
    <x:col min="8" max="8" width="32" hidden="0" customWidth="1"/>
  </x:cols>
  <x:sheetData>
    <x:row r="1" ht="16.799999237060547" hidden="0" customHeight="1">
      <x:c r="A1" s="106" t="str">
        <x:v>Cobertura disponible — stock + OC pendiente de recibir</x:v>
      </x:c>
      <x:c r="B1" s="106"/>
      <x:c r="C1" s="106"/>
      <x:c r="D1" s="106"/>
      <x:c r="E1" s="106"/>
      <x:c r="F1" s="106"/>
      <x:c r="G1" s="106"/>
      <x:c r="H1" s="106"/>
      <x:c r="I1" s="44"/>
      <x:c r="J1" s="44"/>
      <x:c r="K1" s="44"/>
      <x:c r="L1" s="44"/>
      <x:c r="M1" s="44"/>
      <x:c r="N1" s="44"/>
    </x:row>
    <x:row r="2" ht="15" hidden="0" customHeight="1">
      <x:c r="A2" s="44"/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</x:row>
    <x:row r="3" ht="15" hidden="0" customHeight="1">
      <x:c r="A3" s="18" t="str">
        <x:v>SKU</x:v>
      </x:c>
      <x:c r="B3" s="56" t="str">
        <x:v>Producto</x:v>
      </x:c>
      <x:c r="C3" s="56" t="str">
        <x:v>Unidad</x:v>
      </x:c>
      <x:c r="D3" s="56" t="str">
        <x:v>Stock</x:v>
      </x:c>
      <x:c r="E3" s="56" t="str">
        <x:v>Inbound físico pendiente</x:v>
      </x:c>
      <x:c r="F3" s="56" t="str">
        <x:v>Costo ref. Gs.</x:v>
      </x:c>
      <x:c r="G3" s="56" t="str">
        <x:v>Cobertura total</x:v>
      </x:c>
      <x:c r="H3" s="19" t="str">
        <x:v>Nota</x:v>
      </x:c>
      <x:c r="I3" s="44"/>
      <x:c r="J3" s="44"/>
      <x:c r="K3" s="44"/>
      <x:c r="L3" s="44"/>
      <x:c r="M3" s="44"/>
      <x:c r="N3" s="44"/>
    </x:row>
    <x:row r="4" ht="15" hidden="0" customHeight="1">
      <x:c r="A4" s="108" t="str">
        <x:v>LADRILLO</x:v>
      </x:c>
      <x:c r="B4" s="122" t="str">
        <x:v>Ladrillo cerámico 12 cm</x:v>
      </x:c>
      <x:c r="C4" s="122" t="str">
        <x:v>un</x:v>
      </x:c>
      <x:c r="D4" s="138" t="n">
        <x:v>1800</x:v>
      </x:c>
      <x:c r="E4" s="138" t="n">
        <x:v>2500</x:v>
      </x:c>
      <x:c r="F4" s="124" t="n">
        <x:v>2400</x:v>
      </x:c>
      <x:c r="G4" s="138" t="n">
        <x:f>D4+E4</x:f>
        <x:v>4300</x:v>
      </x:c>
      <x:c r="H4" s="109" t="str">
        <x:v>OC-005: 6.500 ordenado, 4.000 recibido</x:v>
      </x:c>
      <x:c r="I4" s="44"/>
      <x:c r="J4" s="44"/>
      <x:c r="K4" s="44"/>
      <x:c r="L4" s="44"/>
      <x:c r="M4" s="44"/>
      <x:c r="N4" s="44"/>
    </x:row>
    <x:row r="5" ht="15" hidden="0" customHeight="1">
      <x:c r="A5" s="108" t="str">
        <x:v>CEM50</x:v>
      </x:c>
      <x:c r="B5" s="122" t="str">
        <x:v>Cemento CP II 50 kg</x:v>
      </x:c>
      <x:c r="C5" s="122" t="str">
        <x:v>bolsa</x:v>
      </x:c>
      <x:c r="D5" s="138" t="n">
        <x:v>90</x:v>
      </x:c>
      <x:c r="E5" s="138" t="n">
        <x:v>120</x:v>
      </x:c>
      <x:c r="F5" s="124" t="n">
        <x:v>58000</x:v>
      </x:c>
      <x:c r="G5" s="138" t="n">
        <x:f>D5+E5</x:f>
        <x:v>210</x:v>
      </x:c>
      <x:c r="H5" s="109" t="str">
        <x:v>OC-001 pendiente 120</x:v>
      </x:c>
      <x:c r="I5" s="44"/>
      <x:c r="J5" s="44"/>
      <x:c r="K5" s="44"/>
      <x:c r="L5" s="44"/>
      <x:c r="M5" s="44"/>
      <x:c r="N5" s="44"/>
    </x:row>
    <x:row r="6" ht="15" hidden="0" customHeight="1">
      <x:c r="A6" s="108" t="str">
        <x:v>ARENA</x:v>
      </x:c>
      <x:c r="B6" s="122" t="str">
        <x:v>Arena lavada</x:v>
      </x:c>
      <x:c r="C6" s="122" t="str">
        <x:v>m3</x:v>
      </x:c>
      <x:c r="D6" s="138" t="n">
        <x:v>6</x:v>
      </x:c>
      <x:c r="E6" s="138" t="n">
        <x:v>10</x:v>
      </x:c>
      <x:c r="F6" s="124" t="n">
        <x:v>180000</x:v>
      </x:c>
      <x:c r="G6" s="138" t="n">
        <x:f>D6+E6</x:f>
        <x:v>16</x:v>
      </x:c>
      <x:c r="H6" s="109" t="str">
        <x:v>OC-003 pendiente 10</x:v>
      </x:c>
      <x:c r="I6" s="44"/>
      <x:c r="J6" s="44"/>
      <x:c r="K6" s="44"/>
      <x:c r="L6" s="44"/>
      <x:c r="M6" s="44"/>
      <x:c r="N6" s="44"/>
    </x:row>
    <x:row r="7" ht="15" hidden="0" customHeight="1">
      <x:c r="A7" s="108" t="str">
        <x:v>PIEDRA</x:v>
      </x:c>
      <x:c r="B7" s="122" t="str">
        <x:v>Piedra triturada 4ta</x:v>
      </x:c>
      <x:c r="C7" s="122" t="str">
        <x:v>m3</x:v>
      </x:c>
      <x:c r="D7" s="138" t="n">
        <x:v>8</x:v>
      </x:c>
      <x:c r="E7" s="138" t="n">
        <x:v>15</x:v>
      </x:c>
      <x:c r="F7" s="124" t="n">
        <x:v>260000</x:v>
      </x:c>
      <x:c r="G7" s="138" t="n">
        <x:f>D7+E7</x:f>
        <x:v>23</x:v>
      </x:c>
      <x:c r="H7" s="109" t="str">
        <x:v>OC-004 pendiente 15</x:v>
      </x:c>
      <x:c r="I7" s="44"/>
      <x:c r="J7" s="44"/>
      <x:c r="K7" s="44"/>
      <x:c r="L7" s="44"/>
      <x:c r="M7" s="44"/>
      <x:c r="N7" s="44"/>
    </x:row>
    <x:row r="8" ht="15" hidden="0" customHeight="1">
      <x:c r="A8" s="108" t="str">
        <x:v>ACERO</x:v>
      </x:c>
      <x:c r="B8" s="122" t="str">
        <x:v>Acero ADN 420</x:v>
      </x:c>
      <x:c r="C8" s="122" t="str">
        <x:v>kg</x:v>
      </x:c>
      <x:c r="D8" s="138" t="n">
        <x:v>950</x:v>
      </x:c>
      <x:c r="E8" s="138" t="n">
        <x:v>2000</x:v>
      </x:c>
      <x:c r="F8" s="124" t="n">
        <x:v>8900</x:v>
      </x:c>
      <x:c r="G8" s="138" t="n">
        <x:f>D8+E8</x:f>
        <x:v>2950</x:v>
      </x:c>
      <x:c r="H8" s="109" t="str">
        <x:v>OC-002 pendiente 2.000</x:v>
      </x:c>
      <x:c r="I8" s="44"/>
      <x:c r="J8" s="44"/>
      <x:c r="K8" s="44"/>
      <x:c r="L8" s="44"/>
      <x:c r="M8" s="44"/>
      <x:c r="N8" s="44"/>
    </x:row>
    <x:row r="9" ht="15" hidden="0" customHeight="1">
      <x:c r="A9" s="108" t="str">
        <x:v>TERC</x:v>
      </x:c>
      <x:c r="B9" s="122" t="str">
        <x:v>Terciada fenólica 18 mm</x:v>
      </x:c>
      <x:c r="C9" s="122" t="str">
        <x:v>m2</x:v>
      </x:c>
      <x:c r="D9" s="138" t="n">
        <x:v>15</x:v>
      </x:c>
      <x:c r="E9" s="138" t="n">
        <x:v>20</x:v>
      </x:c>
      <x:c r="F9" s="124" t="n">
        <x:v>72000</x:v>
      </x:c>
      <x:c r="G9" s="138" t="n">
        <x:f>D9+E9</x:f>
        <x:v>35</x:v>
      </x:c>
      <x:c r="H9" s="109" t="str">
        <x:v>OC-006 pendiente 20</x:v>
      </x:c>
      <x:c r="I9" s="44"/>
      <x:c r="J9" s="44"/>
      <x:c r="K9" s="44"/>
      <x:c r="L9" s="44"/>
      <x:c r="M9" s="44"/>
      <x:c r="N9" s="44"/>
    </x:row>
    <x:row r="10" ht="15" hidden="0" customHeight="1">
      <x:c r="A10" s="108" t="str">
        <x:v>MADERA</x:v>
      </x:c>
      <x:c r="B10" s="122" t="str">
        <x:v>Madera para encofrado</x:v>
      </x:c>
      <x:c r="C10" s="122" t="str">
        <x:v>ml</x:v>
      </x:c>
      <x:c r="D10" s="138" t="n">
        <x:v>30</x:v>
      </x:c>
      <x:c r="E10" s="138" t="n">
        <x:v>20</x:v>
      </x:c>
      <x:c r="F10" s="124" t="n">
        <x:v>18000</x:v>
      </x:c>
      <x:c r="G10" s="138" t="n">
        <x:f>D10+E10</x:f>
        <x:v>50</x:v>
      </x:c>
      <x:c r="H10" s="109" t="str">
        <x:v>OC-007 pendiente 20</x:v>
      </x:c>
      <x:c r="I10" s="44"/>
      <x:c r="J10" s="44"/>
      <x:c r="K10" s="44"/>
      <x:c r="L10" s="44"/>
      <x:c r="M10" s="44"/>
      <x:c r="N10" s="44"/>
    </x:row>
    <x:row r="11" ht="15" hidden="0" customHeight="1">
      <x:c r="A11" s="112" t="str">
        <x:v>CLAVOS</x:v>
      </x:c>
      <x:c r="B11" s="125" t="str">
        <x:v>Clavos 3 pulgadas</x:v>
      </x:c>
      <x:c r="C11" s="125" t="str">
        <x:v>kg</x:v>
      </x:c>
      <x:c r="D11" s="139" t="n">
        <x:v>8</x:v>
      </x:c>
      <x:c r="E11" s="139" t="n">
        <x:v>0</x:v>
      </x:c>
      <x:c r="F11" s="127" t="n">
        <x:v>16000</x:v>
      </x:c>
      <x:c r="G11" s="139" t="n">
        <x:f>D11+E11</x:f>
        <x:v>8</x:v>
      </x:c>
      <x:c r="H11" s="128" t="str">
        <x:v>Sin inbound</x:v>
      </x:c>
      <x:c r="I11" s="44"/>
      <x:c r="J11" s="44"/>
      <x:c r="K11" s="44"/>
      <x:c r="L11" s="44"/>
      <x:c r="M11" s="44"/>
      <x:c r="N11" s="44"/>
    </x:row>
    <x:row r="12" ht="15" hidden="0" customHeight="1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</x:row>
    <x:row r="13" ht="15" hidden="0" customHeight="1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</x:row>
    <x:row r="14" ht="15" hidden="0" customHeight="1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</x:row>
    <x:row r="15" ht="15" hidden="0" customHeight="1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</x:row>
    <x:row r="16" ht="15" hidden="0" customHeight="1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</x:row>
    <x:row r="17" ht="15" hidden="0" customHeight="1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</x:row>
    <x:row r="18" ht="15" hidden="0" customHeight="1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</x:row>
    <x:row r="19" ht="15" hidden="0" customHeight="1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</x:row>
    <x:row r="20" ht="15" hidden="0" customHeight="1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</x:row>
    <x:row r="21" ht="15" hidden="0" customHeight="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</x:row>
    <x:row r="22" ht="15" hidden="0" customHeight="1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</x:row>
    <x:row r="23" ht="15" hidden="0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</x:row>
    <x:row r="24" ht="15" hidden="0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</x:row>
    <x:row r="25" ht="15" hidden="0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</x:row>
    <x:row r="26" ht="15" hidden="0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</x:row>
    <x:row r="27" ht="15" hidden="0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</x:row>
    <x:row r="28" ht="15" hidden="0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</x:row>
    <x:row r="29" ht="15" hidden="0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</x:row>
    <x:row r="30" ht="15" hidden="0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</x:row>
    <x:row r="31" ht="15" hidden="0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</x:row>
    <x:row r="32" ht="15" hidden="0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</x:row>
    <x:row r="33" ht="15" hidden="0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</x:row>
    <x:row r="34" ht="15" hidden="0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</x:row>
    <x:row r="35" ht="15" hidden="0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</x:row>
    <x:row r="36" ht="15" hidden="0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</x:row>
    <x:row r="37" ht="15" hidden="0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</x:row>
    <x:row r="38" ht="15" hidden="0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</x:row>
    <x:row r="39" ht="15" hidden="0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</x:row>
    <x:row r="40" ht="15" hidden="0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2.880001068115234" hidden="0" customWidth="1"/>
    <x:col min="2" max="2" width="5.630000114440918" hidden="0" customWidth="1"/>
    <x:col min="3" max="3" width="11.380000114440918" hidden="0" customWidth="1"/>
    <x:col min="4" max="4" width="7.5" hidden="0" customWidth="1"/>
    <x:col min="5" max="5" width="7.5" hidden="0" customWidth="1"/>
    <x:col min="6" max="6" width="7.5" hidden="0" customWidth="1"/>
    <x:col min="7" max="7" width="9.75" hidden="0" customWidth="1"/>
    <x:col min="8" max="8" width="17.75" hidden="0" customWidth="1"/>
    <x:col min="9" max="9" width="10.130000114440918" hidden="0" customWidth="1"/>
    <x:col min="10" max="10" width="8.25" hidden="0" customWidth="1"/>
  </x:cols>
  <x:sheetData>
    <x:row r="1" ht="16.799999237060547" hidden="0" customHeight="1">
      <x:c r="A1" s="106" t="str">
        <x:v>Resultado esperado — materiales para cumplir el plan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44"/>
      <x:c r="L1" s="44"/>
      <x:c r="M1" s="44"/>
      <x:c r="N1" s="44"/>
    </x:row>
    <x:row r="2" ht="15" hidden="0" customHeight="1">
      <x:c r="A2" s="44"/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</x:row>
    <x:row r="3" ht="15" hidden="0" customHeight="1">
      <x:c r="A3" s="18" t="str">
        <x:v>SKU</x:v>
      </x:c>
      <x:c r="B3" s="56" t="str">
        <x:v>Unidad</x:v>
      </x:c>
      <x:c r="C3" s="56" t="str">
        <x:v>Demanda bruta</x:v>
      </x:c>
      <x:c r="D3" s="56" t="str">
        <x:v>Stock</x:v>
      </x:c>
      <x:c r="E3" s="56" t="str">
        <x:v>Inbound</x:v>
      </x:c>
      <x:c r="F3" s="56" t="str">
        <x:v>Cobertura</x:v>
      </x:c>
      <x:c r="G3" s="56" t="str">
        <x:v>Faltante neto</x:v>
      </x:c>
      <x:c r="H3" s="56" t="str">
        <x:v>Costo ref.</x:v>
      </x:c>
      <x:c r="I3" s="56" t="str">
        <x:v>Caja adicional</x:v>
      </x:c>
      <x:c r="J3" s="19" t="str">
        <x:v>Estado</x:v>
      </x:c>
      <x:c r="K3" s="44"/>
      <x:c r="L3" s="44"/>
      <x:c r="M3" s="44"/>
      <x:c r="N3" s="44"/>
    </x:row>
    <x:row r="4" ht="15" hidden="0" customHeight="1">
      <x:c r="A4" s="108" t="str">
        <x:v>LADRILLO</x:v>
      </x:c>
      <x:c r="B4" s="122" t="str">
        <x:v>un</x:v>
      </x:c>
      <x:c r="C4" s="138" t="n">
        <x:f>SUMIFS('03_Explosion_BOM'!$H$4:$H$23,'03_Explosion_BOM'!$C$4:$C$23,A4)</x:f>
        <x:v>6300</x:v>
      </x:c>
      <x:c r="D4" s="138" t="n">
        <x:f>SUMIFS('04_Stock_Inbound'!$D$4:$D$11,'04_Stock_Inbound'!$A$4:$A$11,A4)</x:f>
        <x:v>1800</x:v>
      </x:c>
      <x:c r="E4" s="138" t="n">
        <x:f>SUMIFS('04_Stock_Inbound'!$E$4:$E$11,'04_Stock_Inbound'!$A$4:$A$11,A4)</x:f>
        <x:v>2500</x:v>
      </x:c>
      <x:c r="F4" s="138" t="n">
        <x:f>D4+E4</x:f>
        <x:v>4300</x:v>
      </x:c>
      <x:c r="G4" s="138" t="n">
        <x:f>MAX(0,C4-F4)</x:f>
        <x:v>2000</x:v>
      </x:c>
      <x:c r="H4" s="124" t="n">
        <x:f>SUMIFS('04_Stock_Inbound'!$F$4:$F$11,'04_Stock_Inbound'!$A$4:$A$11,A4)</x:f>
        <x:v>2400</x:v>
      </x:c>
      <x:c r="I4" s="124" t="n">
        <x:f>G4*H4</x:f>
        <x:v>4800000</x:v>
      </x:c>
      <x:c r="J4" s="109" t="str">
        <x:f>IF(G4&gt;0,"COMPRAR","CUBIERTO")</x:f>
        <x:v>COMPRAR</x:v>
      </x:c>
      <x:c r="K4" s="44"/>
      <x:c r="L4" s="44"/>
      <x:c r="M4" s="44"/>
      <x:c r="N4" s="44"/>
    </x:row>
    <x:row r="5" ht="15" hidden="0" customHeight="1">
      <x:c r="A5" s="108" t="str">
        <x:v>CEM50</x:v>
      </x:c>
      <x:c r="B5" s="122" t="str">
        <x:v>bolsa</x:v>
      </x:c>
      <x:c r="C5" s="138" t="n">
        <x:f>SUMIFS('03_Explosion_BOM'!$H$4:$H$23,'03_Explosion_BOM'!$C$4:$C$23,A5)</x:f>
        <x:v>117.00800000000001</x:v>
      </x:c>
      <x:c r="D5" s="138" t="n">
        <x:f>SUMIFS('04_Stock_Inbound'!$D$4:$D$11,'04_Stock_Inbound'!$A$4:$A$11,A5)</x:f>
        <x:v>90</x:v>
      </x:c>
      <x:c r="E5" s="138" t="n">
        <x:f>SUMIFS('04_Stock_Inbound'!$E$4:$E$11,'04_Stock_Inbound'!$A$4:$A$11,A5)</x:f>
        <x:v>120</x:v>
      </x:c>
      <x:c r="F5" s="138" t="n">
        <x:f>D5+E5</x:f>
        <x:v>210</x:v>
      </x:c>
      <x:c r="G5" s="138" t="n">
        <x:f>MAX(0,C5-F5)</x:f>
        <x:v>0</x:v>
      </x:c>
      <x:c r="H5" s="124" t="n">
        <x:f>SUMIFS('04_Stock_Inbound'!$F$4:$F$11,'04_Stock_Inbound'!$A$4:$A$11,A5)</x:f>
        <x:v>58000</x:v>
      </x:c>
      <x:c r="I5" s="124" t="n">
        <x:f>G5*H5</x:f>
        <x:v>0</x:v>
      </x:c>
      <x:c r="J5" s="109" t="str">
        <x:f>IF(G5&gt;0,"COMPRAR","CUBIERTO")</x:f>
        <x:v>CUBIERTO</x:v>
      </x:c>
      <x:c r="K5" s="44"/>
      <x:c r="L5" s="44"/>
      <x:c r="M5" s="44"/>
      <x:c r="N5" s="44"/>
    </x:row>
    <x:row r="6" ht="15" hidden="0" customHeight="1">
      <x:c r="A6" s="108" t="str">
        <x:v>ARENA</x:v>
      </x:c>
      <x:c r="B6" s="122" t="str">
        <x:v>m3</x:v>
      </x:c>
      <x:c r="C6" s="138" t="n">
        <x:f>SUMIFS('03_Explosion_BOM'!$H$4:$H$23,'03_Explosion_BOM'!$C$4:$C$23,A6)</x:f>
        <x:v>10.421250000000002</x:v>
      </x:c>
      <x:c r="D6" s="138" t="n">
        <x:f>SUMIFS('04_Stock_Inbound'!$D$4:$D$11,'04_Stock_Inbound'!$A$4:$A$11,A6)</x:f>
        <x:v>6</x:v>
      </x:c>
      <x:c r="E6" s="138" t="n">
        <x:f>SUMIFS('04_Stock_Inbound'!$E$4:$E$11,'04_Stock_Inbound'!$A$4:$A$11,A6)</x:f>
        <x:v>10</x:v>
      </x:c>
      <x:c r="F6" s="138" t="n">
        <x:f>D6+E6</x:f>
        <x:v>16</x:v>
      </x:c>
      <x:c r="G6" s="138" t="n">
        <x:f>MAX(0,C6-F6)</x:f>
        <x:v>0</x:v>
      </x:c>
      <x:c r="H6" s="124" t="n">
        <x:f>SUMIFS('04_Stock_Inbound'!$F$4:$F$11,'04_Stock_Inbound'!$A$4:$A$11,A6)</x:f>
        <x:v>180000</x:v>
      </x:c>
      <x:c r="I6" s="124" t="n">
        <x:f>G6*H6</x:f>
        <x:v>0</x:v>
      </x:c>
      <x:c r="J6" s="109" t="str">
        <x:f>IF(G6&gt;0,"COMPRAR","CUBIERTO")</x:f>
        <x:v>CUBIERTO</x:v>
      </x:c>
      <x:c r="K6" s="44"/>
      <x:c r="L6" s="44"/>
      <x:c r="M6" s="44"/>
      <x:c r="N6" s="44"/>
    </x:row>
    <x:row r="7" ht="15" hidden="0" customHeight="1">
      <x:c r="A7" s="108" t="str">
        <x:v>PIEDRA</x:v>
      </x:c>
      <x:c r="B7" s="122" t="str">
        <x:v>m3</x:v>
      </x:c>
      <x:c r="C7" s="138" t="n">
        <x:f>SUMIFS('03_Explosion_BOM'!$H$4:$H$23,'03_Explosion_BOM'!$C$4:$C$23,A7)</x:f>
        <x:v>9.66</x:v>
      </x:c>
      <x:c r="D7" s="138" t="n">
        <x:f>SUMIFS('04_Stock_Inbound'!$D$4:$D$11,'04_Stock_Inbound'!$A$4:$A$11,A7)</x:f>
        <x:v>8</x:v>
      </x:c>
      <x:c r="E7" s="138" t="n">
        <x:f>SUMIFS('04_Stock_Inbound'!$E$4:$E$11,'04_Stock_Inbound'!$A$4:$A$11,A7)</x:f>
        <x:v>15</x:v>
      </x:c>
      <x:c r="F7" s="138" t="n">
        <x:f>D7+E7</x:f>
        <x:v>23</x:v>
      </x:c>
      <x:c r="G7" s="138" t="n">
        <x:f>MAX(0,C7-F7)</x:f>
        <x:v>0</x:v>
      </x:c>
      <x:c r="H7" s="124" t="n">
        <x:f>SUMIFS('04_Stock_Inbound'!$F$4:$F$11,'04_Stock_Inbound'!$A$4:$A$11,A7)</x:f>
        <x:v>260000</x:v>
      </x:c>
      <x:c r="I7" s="124" t="n">
        <x:f>G7*H7</x:f>
        <x:v>0</x:v>
      </x:c>
      <x:c r="J7" s="109" t="str">
        <x:f>IF(G7&gt;0,"COMPRAR","CUBIERTO")</x:f>
        <x:v>CUBIERTO</x:v>
      </x:c>
      <x:c r="K7" s="44"/>
      <x:c r="L7" s="44"/>
      <x:c r="M7" s="44"/>
      <x:c r="N7" s="44"/>
    </x:row>
    <x:row r="8" ht="15" hidden="0" customHeight="1">
      <x:c r="A8" s="108" t="str">
        <x:v>ACERO</x:v>
      </x:c>
      <x:c r="B8" s="122" t="str">
        <x:v>kg</x:v>
      </x:c>
      <x:c r="C8" s="138" t="n">
        <x:f>SUMIFS('03_Explosion_BOM'!$H$4:$H$23,'03_Explosion_BOM'!$C$4:$C$23,A8)</x:f>
        <x:v>1668.6</x:v>
      </x:c>
      <x:c r="D8" s="138" t="n">
        <x:f>SUMIFS('04_Stock_Inbound'!$D$4:$D$11,'04_Stock_Inbound'!$A$4:$A$11,A8)</x:f>
        <x:v>950</x:v>
      </x:c>
      <x:c r="E8" s="138" t="n">
        <x:f>SUMIFS('04_Stock_Inbound'!$E$4:$E$11,'04_Stock_Inbound'!$A$4:$A$11,A8)</x:f>
        <x:v>2000</x:v>
      </x:c>
      <x:c r="F8" s="138" t="n">
        <x:f>D8+E8</x:f>
        <x:v>2950</x:v>
      </x:c>
      <x:c r="G8" s="138" t="n">
        <x:f>MAX(0,C8-F8)</x:f>
        <x:v>0</x:v>
      </x:c>
      <x:c r="H8" s="124" t="n">
        <x:f>SUMIFS('04_Stock_Inbound'!$F$4:$F$11,'04_Stock_Inbound'!$A$4:$A$11,A8)</x:f>
        <x:v>8900</x:v>
      </x:c>
      <x:c r="I8" s="124" t="n">
        <x:f>G8*H8</x:f>
        <x:v>0</x:v>
      </x:c>
      <x:c r="J8" s="109" t="str">
        <x:f>IF(G8&gt;0,"COMPRAR","CUBIERTO")</x:f>
        <x:v>CUBIERTO</x:v>
      </x:c>
      <x:c r="K8" s="44"/>
      <x:c r="L8" s="44"/>
      <x:c r="M8" s="44"/>
      <x:c r="N8" s="44"/>
    </x:row>
    <x:row r="9" ht="15" hidden="0" customHeight="1">
      <x:c r="A9" s="108" t="str">
        <x:v>TERC</x:v>
      </x:c>
      <x:c r="B9" s="122" t="str">
        <x:v>m2</x:v>
      </x:c>
      <x:c r="C9" s="138" t="n">
        <x:f>SUMIFS('03_Explosion_BOM'!$H$4:$H$23,'03_Explosion_BOM'!$C$4:$C$23,A9)</x:f>
        <x:v>23.375</x:v>
      </x:c>
      <x:c r="D9" s="138" t="n">
        <x:f>SUMIFS('04_Stock_Inbound'!$D$4:$D$11,'04_Stock_Inbound'!$A$4:$A$11,A9)</x:f>
        <x:v>15</x:v>
      </x:c>
      <x:c r="E9" s="138" t="n">
        <x:f>SUMIFS('04_Stock_Inbound'!$E$4:$E$11,'04_Stock_Inbound'!$A$4:$A$11,A9)</x:f>
        <x:v>20</x:v>
      </x:c>
      <x:c r="F9" s="138" t="n">
        <x:f>D9+E9</x:f>
        <x:v>35</x:v>
      </x:c>
      <x:c r="G9" s="138" t="n">
        <x:f>MAX(0,C9-F9)</x:f>
        <x:v>0</x:v>
      </x:c>
      <x:c r="H9" s="124" t="n">
        <x:f>SUMIFS('04_Stock_Inbound'!$F$4:$F$11,'04_Stock_Inbound'!$A$4:$A$11,A9)</x:f>
        <x:v>72000</x:v>
      </x:c>
      <x:c r="I9" s="124" t="n">
        <x:f>G9*H9</x:f>
        <x:v>0</x:v>
      </x:c>
      <x:c r="J9" s="109" t="str">
        <x:f>IF(G9&gt;0,"COMPRAR","CUBIERTO")</x:f>
        <x:v>CUBIERTO</x:v>
      </x:c>
      <x:c r="K9" s="44"/>
      <x:c r="L9" s="44"/>
      <x:c r="M9" s="44"/>
      <x:c r="N9" s="44"/>
    </x:row>
    <x:row r="10" ht="15" hidden="0" customHeight="1">
      <x:c r="A10" s="108" t="str">
        <x:v>MADERA</x:v>
      </x:c>
      <x:c r="B10" s="122" t="str">
        <x:v>ml</x:v>
      </x:c>
      <x:c r="C10" s="138" t="n">
        <x:f>SUMIFS('03_Explosion_BOM'!$H$4:$H$23,'03_Explosion_BOM'!$C$4:$C$23,A10)</x:f>
        <x:v>34.1</x:v>
      </x:c>
      <x:c r="D10" s="138" t="n">
        <x:f>SUMIFS('04_Stock_Inbound'!$D$4:$D$11,'04_Stock_Inbound'!$A$4:$A$11,A10)</x:f>
        <x:v>30</x:v>
      </x:c>
      <x:c r="E10" s="138" t="n">
        <x:f>SUMIFS('04_Stock_Inbound'!$E$4:$E$11,'04_Stock_Inbound'!$A$4:$A$11,A10)</x:f>
        <x:v>20</x:v>
      </x:c>
      <x:c r="F10" s="138" t="n">
        <x:f>D10+E10</x:f>
        <x:v>50</x:v>
      </x:c>
      <x:c r="G10" s="138" t="n">
        <x:f>MAX(0,C10-F10)</x:f>
        <x:v>0</x:v>
      </x:c>
      <x:c r="H10" s="124" t="n">
        <x:f>SUMIFS('04_Stock_Inbound'!$F$4:$F$11,'04_Stock_Inbound'!$A$4:$A$11,A10)</x:f>
        <x:v>18000</x:v>
      </x:c>
      <x:c r="I10" s="124" t="n">
        <x:f>G10*H10</x:f>
        <x:v>0</x:v>
      </x:c>
      <x:c r="J10" s="109" t="str">
        <x:f>IF(G10&gt;0,"COMPRAR","CUBIERTO")</x:f>
        <x:v>CUBIERTO</x:v>
      </x:c>
      <x:c r="K10" s="44"/>
      <x:c r="L10" s="44"/>
      <x:c r="M10" s="44"/>
      <x:c r="N10" s="44"/>
    </x:row>
    <x:row r="11" ht="15" hidden="0" customHeight="1">
      <x:c r="A11" s="112" t="str">
        <x:v>CLAVOS</x:v>
      </x:c>
      <x:c r="B11" s="125" t="str">
        <x:v>kg</x:v>
      </x:c>
      <x:c r="C11" s="139" t="n">
        <x:f>SUMIFS('03_Explosion_BOM'!$H$4:$H$23,'03_Explosion_BOM'!$C$4:$C$23,A11)</x:f>
        <x:v>4.4625</x:v>
      </x:c>
      <x:c r="D11" s="139" t="n">
        <x:f>SUMIFS('04_Stock_Inbound'!$D$4:$D$11,'04_Stock_Inbound'!$A$4:$A$11,A11)</x:f>
        <x:v>8</x:v>
      </x:c>
      <x:c r="E11" s="139" t="n">
        <x:f>SUMIFS('04_Stock_Inbound'!$E$4:$E$11,'04_Stock_Inbound'!$A$4:$A$11,A11)</x:f>
        <x:v>0</x:v>
      </x:c>
      <x:c r="F11" s="139" t="n">
        <x:f>D11+E11</x:f>
        <x:v>8</x:v>
      </x:c>
      <x:c r="G11" s="139" t="n">
        <x:f>MAX(0,C11-F11)</x:f>
        <x:v>0</x:v>
      </x:c>
      <x:c r="H11" s="127" t="n">
        <x:f>SUMIFS('04_Stock_Inbound'!$F$4:$F$11,'04_Stock_Inbound'!$A$4:$A$11,A11)</x:f>
        <x:v>16000</x:v>
      </x:c>
      <x:c r="I11" s="127" t="n">
        <x:f>G11*H11</x:f>
        <x:v>0</x:v>
      </x:c>
      <x:c r="J11" s="128" t="str">
        <x:f>IF(G11&gt;0,"COMPRAR","CUBIERTO")</x:f>
        <x:v>CUBIERTO</x:v>
      </x:c>
      <x:c r="K11" s="44"/>
      <x:c r="L11" s="44"/>
      <x:c r="M11" s="44"/>
      <x:c r="N11" s="44"/>
    </x:row>
    <x:row r="12" ht="15" hidden="0" customHeight="1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</x:row>
    <x:row r="13" ht="15" hidden="0" customHeight="1">
      <x:c r="A13" s="44"/>
      <x:c r="B13" s="44"/>
      <x:c r="C13" s="44"/>
      <x:c r="D13" s="44"/>
      <x:c r="E13" s="44"/>
      <x:c r="F13" s="44"/>
      <x:c r="G13" s="44"/>
      <x:c r="H13" s="72" t="str">
        <x:v>KPI</x:v>
      </x:c>
      <x:c r="I13" s="73" t="str">
        <x:v>Valor</x:v>
      </x:c>
      <x:c r="J13" s="44"/>
      <x:c r="K13" s="44"/>
      <x:c r="L13" s="44"/>
      <x:c r="M13" s="44"/>
      <x:c r="N13" s="44"/>
    </x:row>
    <x:row r="14" ht="15" hidden="0" customHeight="1">
      <x:c r="A14" s="44"/>
      <x:c r="B14" s="44"/>
      <x:c r="C14" s="44"/>
      <x:c r="D14" s="44"/>
      <x:c r="E14" s="44"/>
      <x:c r="F14" s="44"/>
      <x:c r="G14" s="44"/>
      <x:c r="H14" s="108" t="str">
        <x:v>Caja adicional total</x:v>
      </x:c>
      <x:c r="I14" s="110" t="n">
        <x:f>SUM(I4:I11)</x:f>
        <x:v>4800000</x:v>
      </x:c>
      <x:c r="J14" s="44"/>
      <x:c r="K14" s="44"/>
      <x:c r="L14" s="44"/>
      <x:c r="M14" s="44"/>
      <x:c r="N14" s="44"/>
    </x:row>
    <x:row r="15" ht="15" hidden="0" customHeight="1">
      <x:c r="A15" s="44"/>
      <x:c r="B15" s="44"/>
      <x:c r="C15" s="44"/>
      <x:c r="D15" s="44"/>
      <x:c r="E15" s="44"/>
      <x:c r="F15" s="44"/>
      <x:c r="G15" s="44"/>
      <x:c r="H15" s="112" t="str">
        <x:v>Materiales con faltante</x:v>
      </x:c>
      <x:c r="I15" s="128" t="n">
        <x:f>COUNTIF(J4:J11,"COMPRAR")</x:f>
        <x:v>1</x:v>
      </x:c>
      <x:c r="J15" s="44"/>
      <x:c r="K15" s="44"/>
      <x:c r="L15" s="44"/>
      <x:c r="M15" s="44"/>
      <x:c r="N15" s="44"/>
    </x:row>
    <x:row r="16" ht="15" hidden="0" customHeight="1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</x:row>
    <x:row r="17" ht="15" hidden="0" customHeight="1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</x:row>
    <x:row r="18" ht="15" hidden="0" customHeight="1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</x:row>
    <x:row r="19" ht="15" hidden="0" customHeight="1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</x:row>
    <x:row r="20" ht="15" hidden="0" customHeight="1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</x:row>
    <x:row r="21" ht="15" hidden="0" customHeight="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</x:row>
    <x:row r="22" ht="15" hidden="0" customHeight="1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</x:row>
    <x:row r="23" ht="15" hidden="0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</x:row>
    <x:row r="24" ht="15" hidden="0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</x:row>
    <x:row r="25" ht="15" hidden="0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</x:row>
    <x:row r="26" ht="15" hidden="0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</x:row>
    <x:row r="27" ht="15" hidden="0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</x:row>
    <x:row r="28" ht="15" hidden="0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</x:row>
    <x:row r="29" ht="15" hidden="0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</x:row>
    <x:row r="30" ht="15" hidden="0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</x:row>
    <x:row r="31" ht="15" hidden="0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</x:row>
    <x:row r="32" ht="15" hidden="0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</x:row>
    <x:row r="33" ht="15" hidden="0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</x:row>
    <x:row r="34" ht="15" hidden="0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</x:row>
    <x:row r="35" ht="15" hidden="0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</x:row>
    <x:row r="36" ht="15" hidden="0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</x:row>
    <x:row r="37" ht="15" hidden="0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</x:row>
    <x:row r="38" ht="15" hidden="0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</x:row>
    <x:row r="39" ht="15" hidden="0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</x:row>
    <x:row r="40" ht="15" hidden="0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</x:row>
  </x:sheetData>
  <x:mergeCells>
    <x:mergeCell ref="A1:J1"/>
  </x:mergeCells>
  <x:conditionalFormatting sqref="J4:J11">
    <x:cfRule type="expression" dxfId="0" priority="1">
      <x:formula>J4="COMPRAR"</x:formula>
    </x:cfRule>
    <x:cfRule type="expression" dxfId="1" priority="2">
      <x:formula>J4="CUBIERTO"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5.37999725341797" hidden="0" customWidth="1"/>
    <x:col min="2" max="2" width="7.5" hidden="0" customWidth="1"/>
    <x:col min="3" max="3" width="4.880000114440918" hidden="0" customWidth="1"/>
    <x:col min="4" max="4" width="8.380000114440918" hidden="0" customWidth="1"/>
    <x:col min="5" max="5" width="5.880000114440918" hidden="0" customWidth="1"/>
    <x:col min="6" max="6" width="9.380000114440918" hidden="0" customWidth="1"/>
    <x:col min="7" max="7" width="9.880000114440918" hidden="0" customWidth="1"/>
    <x:col min="8" max="8" width="21.25" hidden="0" customWidth="1"/>
  </x:cols>
  <x:sheetData>
    <x:row r="1" ht="16.799999237060547" hidden="0" customHeight="1">
      <x:c r="A1" s="106" t="str">
        <x:v>Weather Overlay — fixture determinístico para tests</x:v>
      </x:c>
      <x:c r="B1" s="106"/>
      <x:c r="C1" s="106"/>
      <x:c r="D1" s="106"/>
      <x:c r="E1" s="106"/>
      <x:c r="F1" s="106"/>
      <x:c r="G1" s="106"/>
      <x:c r="H1" s="106"/>
      <x:c r="I1" s="44"/>
      <x:c r="J1" s="44"/>
      <x:c r="K1" s="44"/>
      <x:c r="L1" s="44"/>
      <x:c r="M1" s="44"/>
      <x:c r="N1" s="44"/>
    </x:row>
    <x:row r="2" ht="15" hidden="0" customHeight="1">
      <x:c r="A2" s="107" t="str">
        <x:v>El fixture NO reemplaza Open-Meteo live. Sirve para certificar factores 1 / 0 / 0,5 y que el plan base no se modifica.</x:v>
      </x:c>
      <x:c r="B2" s="107"/>
      <x:c r="C2" s="107"/>
      <x:c r="D2" s="107"/>
      <x:c r="E2" s="107"/>
      <x:c r="F2" s="107"/>
      <x:c r="G2" s="107"/>
      <x:c r="H2" s="107"/>
      <x:c r="I2" s="44"/>
      <x:c r="J2" s="44"/>
      <x:c r="K2" s="44"/>
      <x:c r="L2" s="44"/>
      <x:c r="M2" s="44"/>
      <x:c r="N2" s="44"/>
    </x:row>
    <x:row r="3" ht="15" hidden="0" customHeight="1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</x:row>
    <x:row r="4" ht="15" hidden="0" customHeight="1">
      <x:c r="A4" s="18" t="str">
        <x:v>Fecha</x:v>
      </x:c>
      <x:c r="B4" s="56" t="str">
        <x:v>Clase</x:v>
      </x:c>
      <x:c r="C4" s="56" t="str">
        <x:v>Factor</x:v>
      </x:c>
      <x:c r="D4" s="56" t="str">
        <x:v>Precip. mm</x:v>
      </x:c>
      <x:c r="E4" s="56" t="str">
        <x:v>Prob. %</x:v>
      </x:c>
      <x:c r="F4" s="56" t="str">
        <x:v>Ráfaga km/h</x:v>
      </x:c>
      <x:c r="G4" s="56" t="str">
        <x:v>Temp. max °C</x:v>
      </x:c>
      <x:c r="H4" s="19" t="str">
        <x:v>Aserción</x:v>
      </x:c>
      <x:c r="I4" s="44"/>
      <x:c r="J4" s="44"/>
      <x:c r="K4" s="44"/>
      <x:c r="L4" s="44"/>
      <x:c r="M4" s="44"/>
      <x:c r="N4" s="44"/>
    </x:row>
    <x:row r="5" ht="15" hidden="0" customHeight="1">
      <x:c r="A5" s="142" t="n">
        <x:v>46279</x:v>
      </x:c>
      <x:c r="B5" s="122" t="str">
        <x:v>NORMAL</x:v>
      </x:c>
      <x:c r="C5" s="143" t="n">
        <x:v>1</x:v>
      </x:c>
      <x:c r="D5" s="122" t="n">
        <x:v>0</x:v>
      </x:c>
      <x:c r="E5" s="122" t="n">
        <x:v>10</x:v>
      </x:c>
      <x:c r="F5" s="122" t="n">
        <x:v>18</x:v>
      </x:c>
      <x:c r="G5" s="122" t="n">
        <x:v>31</x:v>
      </x:c>
      <x:c r="H5" s="109" t="str">
        <x:v>factor = 1</x:v>
      </x:c>
      <x:c r="I5" s="44"/>
      <x:c r="J5" s="44"/>
      <x:c r="K5" s="44"/>
      <x:c r="L5" s="44"/>
      <x:c r="M5" s="44"/>
      <x:c r="N5" s="44"/>
    </x:row>
    <x:row r="6" ht="15" hidden="0" customHeight="1">
      <x:c r="A6" s="142" t="n">
        <x:v>46280</x:v>
      </x:c>
      <x:c r="B6" s="122" t="str">
        <x:v>NORMAL</x:v>
      </x:c>
      <x:c r="C6" s="143" t="n">
        <x:v>1</x:v>
      </x:c>
      <x:c r="D6" s="122" t="n">
        <x:v>0.4</x:v>
      </x:c>
      <x:c r="E6" s="122" t="n">
        <x:v>20</x:v>
      </x:c>
      <x:c r="F6" s="122" t="n">
        <x:v>22</x:v>
      </x:c>
      <x:c r="G6" s="122" t="n">
        <x:v>30</x:v>
      </x:c>
      <x:c r="H6" s="109" t="str">
        <x:v>factor = 1</x:v>
      </x:c>
      <x:c r="I6" s="44"/>
      <x:c r="J6" s="44"/>
      <x:c r="K6" s="44"/>
      <x:c r="L6" s="44"/>
      <x:c r="M6" s="44"/>
      <x:c r="N6" s="44"/>
    </x:row>
    <x:row r="7" ht="15" hidden="0" customHeight="1">
      <x:c r="A7" s="142" t="n">
        <x:v>46281</x:v>
      </x:c>
      <x:c r="B7" s="122" t="str">
        <x:v>BLOCKED</x:v>
      </x:c>
      <x:c r="C7" s="143" t="n">
        <x:v>0</x:v>
      </x:c>
      <x:c r="D7" s="122" t="n">
        <x:v>35</x:v>
      </x:c>
      <x:c r="E7" s="122" t="n">
        <x:v>95</x:v>
      </x:c>
      <x:c r="F7" s="122" t="n">
        <x:v>55</x:v>
      </x:c>
      <x:c r="G7" s="122" t="n">
        <x:v>23</x:v>
      </x:c>
      <x:c r="H7" s="109" t="str">
        <x:v>factor 0 debe permanecer 0</x:v>
      </x:c>
      <x:c r="I7" s="44"/>
      <x:c r="J7" s="44"/>
      <x:c r="K7" s="44"/>
      <x:c r="L7" s="44"/>
      <x:c r="M7" s="44"/>
      <x:c r="N7" s="44"/>
    </x:row>
    <x:row r="8" ht="15" hidden="0" customHeight="1">
      <x:c r="A8" s="142" t="n">
        <x:v>46282</x:v>
      </x:c>
      <x:c r="B8" s="122" t="str">
        <x:v>PARTIAL</x:v>
      </x:c>
      <x:c r="C8" s="143" t="n">
        <x:v>0.5</x:v>
      </x:c>
      <x:c r="D8" s="122" t="n">
        <x:v>9</x:v>
      </x:c>
      <x:c r="E8" s="122" t="n">
        <x:v>80</x:v>
      </x:c>
      <x:c r="F8" s="122" t="n">
        <x:v>38</x:v>
      </x:c>
      <x:c r="G8" s="122" t="n">
        <x:v>25</x:v>
      </x:c>
      <x:c r="H8" s="109" t="str">
        <x:v>factor = 0,5</x:v>
      </x:c>
      <x:c r="I8" s="44"/>
      <x:c r="J8" s="44"/>
      <x:c r="K8" s="44"/>
      <x:c r="L8" s="44"/>
      <x:c r="M8" s="44"/>
      <x:c r="N8" s="44"/>
    </x:row>
    <x:row r="9" ht="15" hidden="0" customHeight="1">
      <x:c r="A9" s="142" t="n">
        <x:v>46283</x:v>
      </x:c>
      <x:c r="B9" s="122" t="str">
        <x:v>NORMAL</x:v>
      </x:c>
      <x:c r="C9" s="143" t="n">
        <x:v>1</x:v>
      </x:c>
      <x:c r="D9" s="122" t="n">
        <x:v>1</x:v>
      </x:c>
      <x:c r="E9" s="122" t="n">
        <x:v>30</x:v>
      </x:c>
      <x:c r="F9" s="122" t="n">
        <x:v>24</x:v>
      </x:c>
      <x:c r="G9" s="122" t="n">
        <x:v>28</x:v>
      </x:c>
      <x:c r="H9" s="109" t="str">
        <x:v>factor = 1</x:v>
      </x:c>
      <x:c r="I9" s="44"/>
      <x:c r="J9" s="44"/>
      <x:c r="K9" s="44"/>
      <x:c r="L9" s="44"/>
      <x:c r="M9" s="44"/>
      <x:c r="N9" s="44"/>
    </x:row>
    <x:row r="10" ht="15" hidden="0" customHeight="1">
      <x:c r="A10" s="142" t="n">
        <x:v>46284</x:v>
      </x:c>
      <x:c r="B10" s="122" t="str">
        <x:v>NORMAL</x:v>
      </x:c>
      <x:c r="C10" s="143" t="n">
        <x:v>1</x:v>
      </x:c>
      <x:c r="D10" s="122" t="n">
        <x:v>0</x:v>
      </x:c>
      <x:c r="E10" s="122" t="n">
        <x:v>5</x:v>
      </x:c>
      <x:c r="F10" s="122" t="n">
        <x:v>20</x:v>
      </x:c>
      <x:c r="G10" s="122" t="n">
        <x:v>29</x:v>
      </x:c>
      <x:c r="H10" s="109" t="str">
        <x:v>factor = 1</x:v>
      </x:c>
      <x:c r="I10" s="44"/>
      <x:c r="J10" s="44"/>
      <x:c r="K10" s="44"/>
      <x:c r="L10" s="44"/>
      <x:c r="M10" s="44"/>
      <x:c r="N10" s="44"/>
    </x:row>
    <x:row r="11" ht="15" hidden="0" customHeight="1">
      <x:c r="A11" s="144" t="n">
        <x:v>46285</x:v>
      </x:c>
      <x:c r="B11" s="125" t="str">
        <x:v>NORMAL</x:v>
      </x:c>
      <x:c r="C11" s="145" t="n">
        <x:v>1</x:v>
      </x:c>
      <x:c r="D11" s="125" t="n">
        <x:v>0</x:v>
      </x:c>
      <x:c r="E11" s="125" t="n">
        <x:v>10</x:v>
      </x:c>
      <x:c r="F11" s="125" t="n">
        <x:v>19</x:v>
      </x:c>
      <x:c r="G11" s="125" t="n">
        <x:v>30</x:v>
      </x:c>
      <x:c r="H11" s="128" t="str">
        <x:v>factor = 1</x:v>
      </x:c>
      <x:c r="I11" s="44"/>
      <x:c r="J11" s="44"/>
      <x:c r="K11" s="44"/>
      <x:c r="L11" s="44"/>
      <x:c r="M11" s="44"/>
      <x:c r="N11" s="44"/>
    </x:row>
    <x:row r="12" ht="15" hidden="0" customHeight="1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</x:row>
    <x:row r="13" ht="15" hidden="0" customHeight="1">
      <x:c r="A13" s="72" t="str">
        <x:v>Aserción</x:v>
      </x:c>
      <x:c r="B13" s="73" t="str">
        <x:v>Esperado</x:v>
      </x:c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</x:row>
    <x:row r="14" ht="15" hidden="0" customHeight="1">
      <x:c r="A14" s="108" t="str">
        <x:v>Días plan</x:v>
      </x:c>
      <x:c r="B14" s="109" t="n">
        <x:v>7</x:v>
      </x:c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</x:row>
    <x:row r="15" ht="15" hidden="0" customHeight="1">
      <x:c r="A15" s="108" t="str">
        <x:v>Días con forecast</x:v>
      </x:c>
      <x:c r="B15" s="109" t="n">
        <x:v>7</x:v>
      </x:c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</x:row>
    <x:row r="16" ht="15" hidden="0" customHeight="1">
      <x:c r="A16" s="112" t="str">
        <x:v>Factor promedio</x:v>
      </x:c>
      <x:c r="B16" s="146" t="n">
        <x:f>AVERAGE(C5:C11)</x:f>
        <x:v>0.7857142857142857</x:v>
      </x:c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</x:row>
    <x:row r="17" ht="15" hidden="0" customHeight="1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</x:row>
    <x:row r="18" ht="15" hidden="0" customHeight="1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</x:row>
    <x:row r="19" ht="15" hidden="0" customHeight="1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</x:row>
    <x:row r="20" ht="15" hidden="0" customHeight="1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</x:row>
    <x:row r="21" ht="15" hidden="0" customHeight="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</x:row>
    <x:row r="22" ht="15" hidden="0" customHeight="1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</x:row>
    <x:row r="23" ht="15" hidden="0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</x:row>
    <x:row r="24" ht="15" hidden="0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</x:row>
    <x:row r="25" ht="15" hidden="0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</x:row>
    <x:row r="26" ht="15" hidden="0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</x:row>
    <x:row r="27" ht="15" hidden="0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</x:row>
    <x:row r="28" ht="15" hidden="0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</x:row>
    <x:row r="29" ht="15" hidden="0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</x:row>
    <x:row r="30" ht="15" hidden="0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</x:row>
    <x:row r="31" ht="15" hidden="0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</x:row>
    <x:row r="32" ht="15" hidden="0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</x:row>
    <x:row r="33" ht="15" hidden="0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</x:row>
    <x:row r="34" ht="15" hidden="0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</x:row>
    <x:row r="35" ht="15" hidden="0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</x:row>
    <x:row r="36" ht="15" hidden="0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</x:row>
    <x:row r="37" ht="15" hidden="0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</x:row>
    <x:row r="38" ht="15" hidden="0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</x:row>
    <x:row r="39" ht="15" hidden="0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</x:row>
    <x:row r="40" ht="15" hidden="0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.630000114440918" hidden="0" customWidth="1"/>
    <x:col min="3" max="3" width="7.380000114440918" hidden="0" customWidth="1"/>
    <x:col min="4" max="4" width="25.75" hidden="0" customWidth="1"/>
    <x:col min="5" max="5" width="6" hidden="0" customWidth="1"/>
    <x:col min="6" max="6" width="14.25" hidden="0" customWidth="1"/>
    <x:col min="7" max="7" width="34" hidden="0" customWidth="1"/>
    <x:col min="8" max="8" width="9.880000114440918" hidden="0" customWidth="1"/>
  </x:cols>
  <x:sheetData>
    <x:row r="1" ht="16.799999237060547" hidden="0" customHeight="1">
      <x:c r="A1" s="106" t="str">
        <x:v>Casos de regresión obligatorios</x:v>
      </x:c>
      <x:c r="B1" s="106"/>
      <x:c r="C1" s="106"/>
      <x:c r="D1" s="106"/>
      <x:c r="E1" s="106"/>
      <x:c r="F1" s="106"/>
      <x:c r="G1" s="106"/>
      <x:c r="H1" s="106"/>
      <x:c r="I1" s="44"/>
      <x:c r="J1" s="44"/>
      <x:c r="K1" s="44"/>
      <x:c r="L1" s="44"/>
      <x:c r="M1" s="44"/>
      <x:c r="N1" s="44"/>
    </x:row>
    <x:row r="2" ht="15" hidden="0" customHeight="1">
      <x:c r="A2" s="44"/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</x:row>
    <x:row r="3" ht="15" hidden="0" customHeight="1">
      <x:c r="A3" s="18" t="str">
        <x:v>Caso</x:v>
      </x:c>
      <x:c r="B3" s="56" t="str">
        <x:v>Contractual</x:v>
      </x:c>
      <x:c r="C3" s="56" t="str">
        <x:v>Ejecutado</x:v>
      </x:c>
      <x:c r="D3" s="56" t="str">
        <x:v>Modo</x:v>
      </x:c>
      <x:c r="E3" s="56" t="str">
        <x:v>Input</x:v>
      </x:c>
      <x:c r="F3" s="56" t="str">
        <x:v>Resultado esperado</x:v>
      </x:c>
      <x:c r="G3" s="56" t="str">
        <x:v>Qué detecta</x:v>
      </x:c>
      <x:c r="H3" s="19" t="str">
        <x:v>Estado</x:v>
      </x:c>
      <x:c r="I3" s="44"/>
      <x:c r="J3" s="44"/>
      <x:c r="K3" s="44"/>
      <x:c r="L3" s="44"/>
      <x:c r="M3" s="44"/>
      <x:c r="N3" s="44"/>
    </x:row>
    <x:row r="4" ht="15" hidden="0" customHeight="1">
      <x:c r="A4" s="108" t="str">
        <x:v>500 m² + 10 pp</x:v>
      </x:c>
      <x:c r="B4" s="122" t="n">
        <x:v>500</x:v>
      </x:c>
      <x:c r="C4" s="122" t="n">
        <x:v>0</x:v>
      </x:c>
      <x:c r="D4" s="122" t="str">
        <x:v>CONTRACT_PERCENTAGE_POINTS</x:v>
      </x:c>
      <x:c r="E4" s="122" t="n">
        <x:v>10</x:v>
      </x:c>
      <x:c r="F4" s="122" t="n">
        <x:v>50</x:v>
      </x:c>
      <x:c r="G4" s="122" t="str">
        <x:v>Bug histórico target_quantity=input_value</x:v>
      </x:c>
      <x:c r="H4" s="152" t="str">
        <x:v>DEBE PASAR</x:v>
      </x:c>
      <x:c r="I4" s="44"/>
      <x:c r="J4" s="44"/>
      <x:c r="K4" s="44"/>
      <x:c r="L4" s="44"/>
      <x:c r="M4" s="44"/>
      <x:c r="N4" s="44"/>
    </x:row>
    <x:row r="5" ht="15" hidden="0" customHeight="1">
      <x:c r="A5" s="108" t="str">
        <x:v>Saldo compartido multi-frente</x:v>
      </x:c>
      <x:c r="B5" s="122" t="n">
        <x:v>500</x:v>
      </x:c>
      <x:c r="C5" s="122" t="n">
        <x:v>400</x:v>
      </x:c>
      <x:c r="D5" s="122" t="str">
        <x:v>PP + PP</x:v>
      </x:c>
      <x:c r="E5" s="122" t="str">
        <x:v>15 + 10</x:v>
      </x:c>
      <x:c r="F5" s="122" t="str">
        <x:v>100 total</x:v>
      </x:c>
      <x:c r="G5" s="122" t="str">
        <x:v>75 + 25; nunca 125</x:v>
      </x:c>
      <x:c r="H5" s="152" t="str">
        <x:v>DEBE PASAR</x:v>
      </x:c>
      <x:c r="I5" s="44"/>
      <x:c r="J5" s="44"/>
      <x:c r="K5" s="44"/>
      <x:c r="L5" s="44"/>
      <x:c r="M5" s="44"/>
      <x:c r="N5" s="44"/>
    </x:row>
    <x:row r="6" ht="15" hidden="0" customHeight="1">
      <x:c r="A6" s="108" t="str">
        <x:v>Partida terminada</x:v>
      </x:c>
      <x:c r="B6" s="122" t="n">
        <x:v>420</x:v>
      </x:c>
      <x:c r="C6" s="122" t="n">
        <x:v>420</x:v>
      </x:c>
      <x:c r="D6" s="122" t="str">
        <x:v>QUANTITY</x:v>
      </x:c>
      <x:c r="E6" s="122" t="n">
        <x:v>25</x:v>
      </x:c>
      <x:c r="F6" s="122" t="n">
        <x:v>0</x:v>
      </x:c>
      <x:c r="G6" s="122" t="str">
        <x:v>Cap a saldo 0</x:v>
      </x:c>
      <x:c r="H6" s="152" t="str">
        <x:v>DEBE PASAR</x:v>
      </x:c>
      <x:c r="I6" s="44"/>
      <x:c r="J6" s="44"/>
      <x:c r="K6" s="44"/>
      <x:c r="L6" s="44"/>
      <x:c r="M6" s="44"/>
      <x:c r="N6" s="44"/>
    </x:row>
    <x:row r="7" ht="15" hidden="0" customHeight="1">
      <x:c r="A7" s="108" t="str">
        <x:v>Weather factor cero</x:v>
      </x:c>
      <x:c r="B7" s="122"/>
      <x:c r="C7" s="122"/>
      <x:c r="D7" s="122" t="str">
        <x:v>WEATHER</x:v>
      </x:c>
      <x:c r="E7" s="122" t="str">
        <x:v>0</x:v>
      </x:c>
      <x:c r="F7" s="122" t="n">
        <x:v>0</x:v>
      </x:c>
      <x:c r="G7" s="122" t="str">
        <x:v>No usar 0 || 1</x:v>
      </x:c>
      <x:c r="H7" s="152" t="str">
        <x:v>DEBE PASAR</x:v>
      </x:c>
      <x:c r="I7" s="44"/>
      <x:c r="J7" s="44"/>
      <x:c r="K7" s="44"/>
      <x:c r="L7" s="44"/>
      <x:c r="M7" s="44"/>
      <x:c r="N7" s="44"/>
    </x:row>
    <x:row r="8" ht="15" hidden="0" customHeight="1">
      <x:c r="A8" s="112" t="str">
        <x:v>Sin historial</x:v>
      </x:c>
      <x:c r="B8" s="125" t="n">
        <x:v>900</x:v>
      </x:c>
      <x:c r="C8" s="125" t="n">
        <x:v>120</x:v>
      </x:c>
      <x:c r="D8" s="125" t="str">
        <x:v>QUANTITY</x:v>
      </x:c>
      <x:c r="E8" s="125" t="n">
        <x:v>120</x:v>
      </x:c>
      <x:c r="F8" s="125" t="n">
        <x:v>120</x:v>
      </x:c>
      <x:c r="G8" s="125" t="str">
        <x:v>Materiales/caja siguen calculables</x:v>
      </x:c>
      <x:c r="H8" s="153" t="str">
        <x:v>DEBE PASAR</x:v>
      </x:c>
      <x:c r="I8" s="44"/>
      <x:c r="J8" s="44"/>
      <x:c r="K8" s="44"/>
      <x:c r="L8" s="44"/>
      <x:c r="M8" s="44"/>
      <x:c r="N8" s="44"/>
    </x:row>
    <x:row r="9" ht="15" hidden="0" customHeight="1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</x:row>
    <x:row r="10" ht="15" hidden="0" customHeight="1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</x:row>
    <x:row r="11" ht="15" hidden="0" customHeight="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</x:row>
    <x:row r="12" ht="15" hidden="0" customHeight="1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</x:row>
    <x:row r="13" ht="15" hidden="0" customHeight="1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</x:row>
    <x:row r="14" ht="15" hidden="0" customHeight="1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</x:row>
    <x:row r="15" ht="15" hidden="0" customHeight="1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</x:row>
    <x:row r="16" ht="15" hidden="0" customHeight="1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</x:row>
    <x:row r="17" ht="15" hidden="0" customHeight="1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</x:row>
    <x:row r="18" ht="15" hidden="0" customHeight="1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</x:row>
    <x:row r="19" ht="15" hidden="0" customHeight="1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</x:row>
    <x:row r="20" ht="15" hidden="0" customHeight="1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</x:row>
    <x:row r="21" ht="15" hidden="0" customHeight="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</x:row>
    <x:row r="22" ht="15" hidden="0" customHeight="1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</x:row>
    <x:row r="23" ht="15" hidden="0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</x:row>
    <x:row r="24" ht="15" hidden="0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</x:row>
    <x:row r="25" ht="15" hidden="0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</x:row>
    <x:row r="26" ht="15" hidden="0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</x:row>
    <x:row r="27" ht="15" hidden="0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</x:row>
    <x:row r="28" ht="15" hidden="0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</x:row>
    <x:row r="29" ht="15" hidden="0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</x:row>
    <x:row r="30" ht="15" hidden="0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</x:row>
    <x:row r="31" ht="15" hidden="0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</x:row>
    <x:row r="32" ht="15" hidden="0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</x:row>
    <x:row r="33" ht="15" hidden="0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</x:row>
    <x:row r="34" ht="15" hidden="0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</x:row>
    <x:row r="35" ht="15" hidden="0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</x:row>
    <x:row r="36" ht="15" hidden="0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</x:row>
    <x:row r="37" ht="15" hidden="0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</x:row>
    <x:row r="38" ht="15" hidden="0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</x:row>
    <x:row r="39" ht="15" hidden="0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</x:row>
    <x:row r="40" ht="15" hidden="0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</x:row>
  </x:sheetData>
  <x:mergeCells>
    <x:mergeCell ref="A1:H1"/>
  </x:mergeCells>
  <x:pageMargins left="0.7" right="0.7" top="0.75" bottom="0.75" header="0.3" footer="0.3"/>
</x:worksheet>
</file>